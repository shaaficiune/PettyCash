
<file path=[Content_Types].xml><?xml version="1.0" encoding="utf-8"?>
<Types xmlns="http://schemas.openxmlformats.org/package/2006/content-types">
  <Default Extension="png" ContentType="image/png"/>
  <Default Extension="bin" ContentType="application/vnd.ms-office.activeX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C\Desktop\"/>
    </mc:Choice>
  </mc:AlternateContent>
  <bookViews>
    <workbookView xWindow="-120" yWindow="-120" windowWidth="29040" windowHeight="15840"/>
  </bookViews>
  <sheets>
    <sheet name="somtel puntland petty Cash Augu" sheetId="10" r:id="rId1"/>
    <sheet name="Bluekom Petty Cash Augus 2026" sheetId="8" r:id="rId2"/>
    <sheet name="Sheet3" sheetId="16" r:id="rId3"/>
    <sheet name="Sheet4" sheetId="17" r:id="rId4"/>
    <sheet name="Sheet2" sheetId="9" state="hidden" r:id="rId5"/>
  </sheets>
  <definedNames>
    <definedName name="_xlnm._FilterDatabase" localSheetId="4" hidden="1">Sheet2!$A$1:$H$93</definedName>
    <definedName name="_xlnm._FilterDatabase" localSheetId="2" hidden="1">Sheet3!$G$3:$O$31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0" l="1"/>
  <c r="J9" i="10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9" i="17"/>
  <c r="I168" i="10"/>
  <c r="J7" i="10"/>
  <c r="J10" i="8" l="1"/>
  <c r="J164" i="10" l="1"/>
  <c r="J165" i="10" s="1"/>
  <c r="J166" i="10" s="1"/>
  <c r="J167" i="10" s="1"/>
  <c r="J168" i="10" s="1"/>
  <c r="O169" i="10" s="1"/>
  <c r="H4" i="10"/>
  <c r="J2" i="9"/>
  <c r="J11" i="8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l="1"/>
  <c r="H72" i="8"/>
  <c r="I72" i="8" l="1"/>
  <c r="J37" i="8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H7" i="8" s="1"/>
</calcChain>
</file>

<file path=xl/sharedStrings.xml><?xml version="1.0" encoding="utf-8"?>
<sst xmlns="http://schemas.openxmlformats.org/spreadsheetml/2006/main" count="519" uniqueCount="335">
  <si>
    <t>Month start</t>
  </si>
  <si>
    <t>Currency</t>
  </si>
  <si>
    <t>Balance</t>
  </si>
  <si>
    <t>Closing Balance</t>
  </si>
  <si>
    <t>Date</t>
  </si>
  <si>
    <t xml:space="preserve"> </t>
  </si>
  <si>
    <t xml:space="preserve">Total </t>
  </si>
  <si>
    <t>Name</t>
  </si>
  <si>
    <t>position</t>
  </si>
  <si>
    <t>Prepared By :</t>
  </si>
  <si>
    <t>Verified By :</t>
  </si>
  <si>
    <t xml:space="preserve">Approved By </t>
  </si>
  <si>
    <t>Signature</t>
  </si>
  <si>
    <t>Payee Name#</t>
  </si>
  <si>
    <t>USD</t>
  </si>
  <si>
    <t>Expenses Description</t>
  </si>
  <si>
    <t>Category</t>
  </si>
  <si>
    <t>Credit 
(Money in )</t>
  </si>
  <si>
    <t xml:space="preserve">Debit
(Money Out ) </t>
  </si>
  <si>
    <t>Tasliix</t>
  </si>
  <si>
    <t>Transportation</t>
  </si>
  <si>
    <t>Refreshment</t>
  </si>
  <si>
    <t>S/N</t>
  </si>
  <si>
    <t xml:space="preserve">eDahab </t>
  </si>
  <si>
    <t xml:space="preserve"> ACCOUNT  </t>
  </si>
  <si>
    <t>NO:</t>
  </si>
  <si>
    <t xml:space="preserve">Opening Balance       </t>
  </si>
  <si>
    <t>Region</t>
  </si>
  <si>
    <t>#No</t>
  </si>
  <si>
    <t>Credit 
(Money in)</t>
  </si>
  <si>
    <t xml:space="preserve">Debit
(Money Out) </t>
  </si>
  <si>
    <t>Bluekom Petty Cash Expenses Sheet</t>
  </si>
  <si>
    <t>Somtel Petty Cash Expenses Sheet</t>
  </si>
  <si>
    <t>Repair of Vehicles</t>
  </si>
  <si>
    <t>Repair of Builds</t>
  </si>
  <si>
    <t>Repair of Generators</t>
  </si>
  <si>
    <t>Bari &amp; Karkaar</t>
  </si>
  <si>
    <t>Sanaag</t>
  </si>
  <si>
    <t>Mudug</t>
  </si>
  <si>
    <t>Nugaal</t>
  </si>
  <si>
    <t>July Top-Up</t>
  </si>
  <si>
    <t>General Expenses</t>
  </si>
  <si>
    <t>CADNAAN CISMAAN SICIID</t>
  </si>
  <si>
    <t>Tasliix for media (studios)</t>
  </si>
  <si>
    <t>MAXAMUUD CABDULAAHI MAXAMED DUCAALE</t>
  </si>
  <si>
    <t>Transportation for power upgrade (power upgrade Timirshe,Balidhidin and Beeliwacatay)</t>
  </si>
  <si>
    <t>FADHISAMO ELECTRICAL TRADING (Merchant Code : 38923)</t>
  </si>
  <si>
    <t>Miscellaneous for mudug (swich 32A) xarunta HQ sales point galkacyo))</t>
  </si>
  <si>
    <t>DARYEEL DEEGAN COMPANY (Merchant Code : 50840)</t>
  </si>
  <si>
    <t>Miscellaneous for Garowe (Trash, Region office and BSC)</t>
  </si>
  <si>
    <t>MAXAMED CABDIRIXMAN CALI</t>
  </si>
  <si>
    <t>Repair for vehicle (car wash CG067)</t>
  </si>
  <si>
    <t>CABDILAAHI MAXAMUUD CALI CIIRAALE</t>
  </si>
  <si>
    <t>Miscellaneous for airport entering (airport entering)</t>
  </si>
  <si>
    <t>CABDINAASIR MAXAMED CALI</t>
  </si>
  <si>
    <t>Freshement and notayo conract writing for carmo conflect (freshment and writing notayo contract)</t>
  </si>
  <si>
    <t>GAACIYE STORE (Merchant Code : 758611)</t>
  </si>
  <si>
    <t>Repair for vehicle for mudug (car wash and oil change probox care plate no pm892)</t>
  </si>
  <si>
    <t>CABDIMUDALIB CABDISALAAM CALI</t>
  </si>
  <si>
    <t>Repair for vehicle burtinle (machenic 3 balyoda iyo shakalada garriga probox RN879)</t>
  </si>
  <si>
    <t>NUUR CABDI CALI</t>
  </si>
  <si>
    <t>transportation for dhahar site (soler base material dejinta site ka dhahar)</t>
  </si>
  <si>
    <t>AXMED CABDIWALI MAXAMED MAXAMUUD</t>
  </si>
  <si>
    <t>Miscellaneous for technical (khadka leebalka qalabka lagu calaamadiyo)</t>
  </si>
  <si>
    <t>RISAALA STATIONARY AND BOOK SHOP (Merchant Code : 36726)</t>
  </si>
  <si>
    <t>Miscellaneous for Nugal region (office stationery A4 and toner 107A)</t>
  </si>
  <si>
    <t>Miscellaneous for technical office Garowe (extention qaybiso)</t>
  </si>
  <si>
    <t>SIHAAM CABDINASIR XAASHI</t>
  </si>
  <si>
    <t>Transportation for HQ1 (xamalka iyo xirida dhalada hall-ka )</t>
  </si>
  <si>
    <t>BARAKO PETROLEUM (Merchant Code : 735797)</t>
  </si>
  <si>
    <t>Repair for Generator ex-conroll (isku dar)</t>
  </si>
  <si>
    <t>KAAFI SUPERMARKET TREE (Merchant Code : 747865)</t>
  </si>
  <si>
    <t>Miscellaneous for QH 1 (fine and carfiso)</t>
  </si>
  <si>
    <t>CABDIQANI SALEEBAAN MUUSE CIISE</t>
  </si>
  <si>
    <t>Transportation for dhahar site (solar Base material from carmo to dhahar)</t>
  </si>
  <si>
    <t>XASAN KILWE CUMAR</t>
  </si>
  <si>
    <t>Transportation for Burtinle (simcard from Garowe to Burtinle)</t>
  </si>
  <si>
    <t>sayid cali cabdulqaadir</t>
  </si>
  <si>
    <t>Transportation for 3 new site (lacagta jidkarka 3 site dhahar, Qardho, Badhan)</t>
  </si>
  <si>
    <t>CABDIRAXMAAN YUUSUF CABDIRAXMAAN</t>
  </si>
  <si>
    <t>Transportation for simcards ( garacad,seemad,jariiban,ceelberdaale)</t>
  </si>
  <si>
    <t>AL-RISAALA STATIONERY AND BOOK SHOP - GLK (Merchant Code : 48438)</t>
  </si>
  <si>
    <t>Miscellaneous for stationery mudug office (box A4 and Box Pens)</t>
  </si>
  <si>
    <t>AXMED CABDIWALI MAXAMED</t>
  </si>
  <si>
    <t>Transportation for Balle( taagista baalle dhacay Bosaso)</t>
  </si>
  <si>
    <t>MAXAMUD MAXAMED MUUSE</t>
  </si>
  <si>
    <t>Repair for generator (Repairing maintenance motorka tower duudhoyo Karkaar)</t>
  </si>
  <si>
    <t>CABDI CALI XIRSI</t>
  </si>
  <si>
    <t>Repair for vehicle (banjar tayiro gariga VO 436)</t>
  </si>
  <si>
    <t>FAARAX CALI CUMAR MAXAMAD</t>
  </si>
  <si>
    <t>repair of vehicles (banjarin gari, Gaari dhaaqid disbursement)</t>
  </si>
  <si>
    <t>HUBAAL PETROLIUM (Merchant Code : 34465)</t>
  </si>
  <si>
    <t>Repair for vehicle (oil change)</t>
  </si>
  <si>
    <t>transportations for Bosaso to garowe (Disbursment)</t>
  </si>
  <si>
    <t>SAMA WADAAG GROUP OF COMPANY (Merchant Code : 92081)</t>
  </si>
  <si>
    <t>Repair for vehicle (oomo logaday Motorka HQ1 Bosaso)</t>
  </si>
  <si>
    <t>ahmed cabdiraxaman cali</t>
  </si>
  <si>
    <t>transportation for sim cards (simcards from Bosaso To garowe)</t>
  </si>
  <si>
    <t>CAYDARUUS AXMED MAHDI MAHDI</t>
  </si>
  <si>
    <t>repair for vehicle (calad bixin iyo ku shubista AC ga gariga SP228)</t>
  </si>
  <si>
    <t>SICIID CUSMAAN IBRAAHIM</t>
  </si>
  <si>
    <t>Repair for vehicle (manual labor cost car SP228)</t>
  </si>
  <si>
    <t>Ahmed Mohamed Ahmed</t>
  </si>
  <si>
    <t>Transportation for sim cards (loading and loading simcards from Bosaso airport to HQ Bosaso store)</t>
  </si>
  <si>
    <t>BILKHEYR CAFFETERIA (Merchant Code : 35243)</t>
  </si>
  <si>
    <t>Refreshment for Bari regions ( meeting staff and regeional manager Bari)</t>
  </si>
  <si>
    <t>RISAALA PRINTING BOSSASO (Merchant Code : 84771)</t>
  </si>
  <si>
    <t>Miscellaneous for Bari regional (stamp)</t>
  </si>
  <si>
    <t>MAREERA SPARE PARTS (Merchant Code : 50787)</t>
  </si>
  <si>
    <t>Repair for vehicle (turuus probox plate SP228)</t>
  </si>
  <si>
    <t>ABADIR JAAMAC NUUR</t>
  </si>
  <si>
    <t>Repair for vehicle (galalka kurasta Probox)</t>
  </si>
  <si>
    <t>CABDISAMED MAXAMED CABDI</t>
  </si>
  <si>
    <t>Transportation for cormo (Battery lo qaday site ka carmo)</t>
  </si>
  <si>
    <t>Miscellaneous for city center Galkacyo (2lamps, fillo,and tubada cable ka)</t>
  </si>
  <si>
    <t>CABDIWALI XASAN JAAMAC</t>
  </si>
  <si>
    <t>Repair for generator (key broke off generator Bursalax )</t>
  </si>
  <si>
    <t>SICIID JAAMAC MAXAMUUD AXMED</t>
  </si>
  <si>
    <t>Transportations for fuels (outside sites of mudug)</t>
  </si>
  <si>
    <t>SAFAARI GROUP QAYBTA SOO DHIIBISTA (Merchant Code : 747188)</t>
  </si>
  <si>
    <t>transportations for mudug (closure team ka kenyanka ah sincard, fiber loo kenay galdogob site)</t>
  </si>
  <si>
    <t>NEW VISION SOLUTIONS (Merchant Code : 94899)</t>
  </si>
  <si>
    <t>Miscellaneous for internal controller (keyboard)</t>
  </si>
  <si>
    <t>SHACAB CAFETERIA (Merchant Code : 49899)</t>
  </si>
  <si>
    <t>miscellaneous for internal controll (keyboard)</t>
  </si>
  <si>
    <t>AXMED SALAD XIRSI</t>
  </si>
  <si>
    <t>Transportation for generator of HQ Bosaso(xamaaliga rayatoraha mororka HQ 1 Bosaso)</t>
  </si>
  <si>
    <t>CABDINASIR MAXAMED CALI SAALAX</t>
  </si>
  <si>
    <t>tasliix for government (Data bundles)</t>
  </si>
  <si>
    <t>XALIYE DATA SERVICE</t>
  </si>
  <si>
    <t>tasliix for government (data bundles)</t>
  </si>
  <si>
    <t>SUPER TRANSPORTATION AND LOGOSTICS (Merchant Code : 11796)</t>
  </si>
  <si>
    <t>transportations for internal controller computer (computer and equipment fiber from Bosaso to garowe)</t>
  </si>
  <si>
    <t>SHIRKADA SAFARADA DALKA SAFARI GROUP (Merchant Code : 661374661)</t>
  </si>
  <si>
    <t>transportation for equipment commercial and technical departments (simcardS and inventory USP )</t>
  </si>
  <si>
    <t>Yuusuf abdi Artan axmed</t>
  </si>
  <si>
    <t>Tasliix for government ( Data bunnal ka taliyaha qaybta police ka )</t>
  </si>
  <si>
    <t>DULQAAD ELECTRONIC (Merchant Code : 36202)</t>
  </si>
  <si>
    <t>Miscellaneous for Qardho Hill and Alxamdullah site (Toshash)</t>
  </si>
  <si>
    <t>NUUR CALA NUUR STORE ONE (Merchant Code : 37625)</t>
  </si>
  <si>
    <t>Material for clearances (Nugaal regions)</t>
  </si>
  <si>
    <t>AXMEDNUUR YUUSUF MAXAMED</t>
  </si>
  <si>
    <t>transportation for internal controller somtel ( kartoon loo gaday ccomputer ka)</t>
  </si>
  <si>
    <t>CABDI AADAN XUSEEN AXMED</t>
  </si>
  <si>
    <t>Repair for vehicle (guluubo iyo fakhaakh loo gaday gariga MR 964) Bari Region</t>
  </si>
  <si>
    <t>AXMED MAXAMUD JAMAC</t>
  </si>
  <si>
    <t>repair engine for Xorgoble Site (dhiqista tangiga motorka site xorgoble Qardho)</t>
  </si>
  <si>
    <t>ADEN MACALIN XASAN</t>
  </si>
  <si>
    <t>office cleaners for Qardh (oomo kiish)</t>
  </si>
  <si>
    <t>GURYASAMO COMPANY (Merchant Code : 758570)</t>
  </si>
  <si>
    <t>meterail for office cleaners Karkaar region (iskoobayal, iyo tirtirayaal)</t>
  </si>
  <si>
    <t>CABDULQAADIR CISMAAN FAARAX</t>
  </si>
  <si>
    <t>Carrier for internet balle somtel Bosaso( taagis 3 baale saaris 1 baale)</t>
  </si>
  <si>
    <t>Repair for vehicles and sites (iskudar hydrole and oil break Plate no wx 228) and Birta dher site )</t>
  </si>
  <si>
    <t>Transportation For fuels (from Qordho To Dhudhub site karkaar)</t>
  </si>
  <si>
    <t>CABDICASIIS NUUR XUSEEN</t>
  </si>
  <si>
    <t>Repair for vehicle (Banjarin brobox pm 892)</t>
  </si>
  <si>
    <t>MOWLIID XASAN MIRE</t>
  </si>
  <si>
    <t>office supply for jalab office (wildding and repair wiatinf chiar customer sales point jalab)</t>
  </si>
  <si>
    <t>CALI MUMIN CALI</t>
  </si>
  <si>
    <t>repair for engine (baalays 10 xabo, ligistop 2 xabo, iskudar 2 xabo))</t>
  </si>
  <si>
    <t>faarax cali cumar guure</t>
  </si>
  <si>
    <t>transportation for tripe (country enters somaliland )</t>
  </si>
  <si>
    <t>MUBAARAK SAID ABDULLAHI</t>
  </si>
  <si>
    <t>Prepair for (teamka Noc TOT)</t>
  </si>
  <si>
    <t>ABSHIR MAXAMED XISRI CABDILLE</t>
  </si>
  <si>
    <t>Transportation bettery for kalabaydh site nugaal</t>
  </si>
  <si>
    <t>Clearans for Garowe HQ1</t>
  </si>
  <si>
    <t>MIDEEYE SAPREPARTS (Merchant Code : 715931)</t>
  </si>
  <si>
    <t>Repair for premise (ranjiyeynta iyo samaynta ganjeelka site ka garacad 2 mudug)</t>
  </si>
  <si>
    <t>SHIRKADA SAFARAD SAFAARI GROUP (Merchant Code : 763263)</t>
  </si>
  <si>
    <t>Transport for File Bill (Burtinle bill file &amp; karkaar bill file)</t>
  </si>
  <si>
    <t>Transportation for Barrels (from Bargal to Bosaso)</t>
  </si>
  <si>
    <t>NEW GOLDEN RESTUARANT (Merchant Code : 38919)</t>
  </si>
  <si>
    <t>Refereshment for (commercial meeting</t>
  </si>
  <si>
    <t>ANISO ABDIRISAQ MOHAMED</t>
  </si>
  <si>
    <t>Transportation for Water (Dalweyn site Bosaso ))</t>
  </si>
  <si>
    <t>MAXAMUD XAAMUD MAXAMED</t>
  </si>
  <si>
    <t>Refreshment for team ka campaign-ka u baxay (Commercial)</t>
  </si>
  <si>
    <t>Maxamed Ismacil Mire</t>
  </si>
  <si>
    <t>repair for vehicle (laga shaqeyay dabka gariga probox ah UY 358)</t>
  </si>
  <si>
    <t>Cabdullahi Cabdi Adan ilkacase</t>
  </si>
  <si>
    <t>Repair for Premise (kashaqaynta furista iyo rakibista musqusha HQ1 Qordho))</t>
  </si>
  <si>
    <t>LABO GARDAYE QAYBTA MAACUUNTA (Merchant Code : 749463)</t>
  </si>
  <si>
    <t>cleaning for office (malafka qshinka, iskoobayal,sabun)</t>
  </si>
  <si>
    <t>SHAACA GENERAL TRAIDING COMPANY (Merchant Code : 59854)</t>
  </si>
  <si>
    <t>cleaning for office (shanbooyin,sabun, masaxad) loo gaday sanaag)</t>
  </si>
  <si>
    <t>jaamac axmad xasan</t>
  </si>
  <si>
    <t>Transport for the simcards, from Galkayo to Jariiban mudug</t>
  </si>
  <si>
    <t>najiib cabdirisaaq muuse mataan</t>
  </si>
  <si>
    <t>Transport for simcards, from Galkayo to Balibusle.</t>
  </si>
  <si>
    <t>KARAAMA STORE (Merchant Code : 748074)</t>
  </si>
  <si>
    <t>Repair of premises (lamps loo gaday jalam site Nugaa)</t>
  </si>
  <si>
    <t>GUFURRE SPARE PARTS TWO (Merchant Code : 47016)</t>
  </si>
  <si>
    <t>Repair of vehicle for (2 oil falcon and 2 filters 067782) plate no Qc 263)</t>
  </si>
  <si>
    <t>Repair for motors (koolo link stop loo gadayo motorka HQ1 Bosaso)</t>
  </si>
  <si>
    <t>YACQUUB ILYAAS AADAN</t>
  </si>
  <si>
    <t>Repair of vehicle (shakal) Plate 44348</t>
  </si>
  <si>
    <t>AXMED CABDI CILMI (DABAY)</t>
  </si>
  <si>
    <t>Refreshment (Security Wood) for Excheckpoint Bosaso.</t>
  </si>
  <si>
    <t>CABA CABA KAAFI (Merchant Code : 15977)</t>
  </si>
  <si>
    <t>Refreshment (Portable Water) Staff for HQ Garowe</t>
  </si>
  <si>
    <t>Repair of Premises (Windows) HQ Garowe</t>
  </si>
  <si>
    <t>XASSAN AADAN AHMED</t>
  </si>
  <si>
    <t>Transportation of Simcards from Garowe To Burtinle</t>
  </si>
  <si>
    <t>CUMAR CABDULAAHI CISMAAN SANDHEEDE</t>
  </si>
  <si>
    <t>Repair for Vehicle (Saxan kereeshka) Noah Plate: OC087</t>
  </si>
  <si>
    <t>Repair for Vehicle (Carwash) Plate: PP631 &amp; VO436</t>
  </si>
  <si>
    <t>LU LU GENARAL STORE (Merchant Code : 59782)</t>
  </si>
  <si>
    <t>Repair for Premises (Qafolo) Sheerbi, Qardho-hq1 &amp; ALxamdulilah</t>
  </si>
  <si>
    <t>QARAN SPARE PARTS (Merchant Code : 17071)</t>
  </si>
  <si>
    <t>Repair for Vehicle (Fareejo hore) Plate: VO346</t>
  </si>
  <si>
    <t>ABDIJABAR JAMA MOHAMED</t>
  </si>
  <si>
    <t>Transportation of Simcards Garowe to Burtinle</t>
  </si>
  <si>
    <t> Account</t>
  </si>
  <si>
    <t> Recipient</t>
  </si>
  <si>
    <t> Amount</t>
  </si>
  <si>
    <t> Approved on</t>
  </si>
  <si>
    <t> Payee</t>
  </si>
  <si>
    <t> Narration</t>
  </si>
  <si>
    <t> PV #</t>
  </si>
  <si>
    <t>General expenses</t>
  </si>
  <si>
    <t>SAYID CALI CABDIQAADIR AXMED</t>
  </si>
  <si>
    <t>Repair for Premise (furista suuliga site-ka faadumo Bosaso oo xirmay)</t>
  </si>
  <si>
    <t>Repair for Generators (lamdada motorka cagaaran </t>
  </si>
  <si>
    <t>miscellaneous</t>
  </si>
  <si>
    <t>CABDINASIR MAXAMED YUSUF</t>
  </si>
  <si>
    <t>Shafici abdirahman dirie warsame</t>
  </si>
  <si>
    <t>ABUUBAKAR SAHAL QAXIYE</t>
  </si>
  <si>
    <t>Cabdacasiis Maxamuud Siciid</t>
  </si>
  <si>
    <t>MAXAMED FAARAX KHALIIF</t>
  </si>
  <si>
    <t>MAXAMUUD CUMAR CIGAAL</t>
  </si>
  <si>
    <t>XUSEEN MAXAMED GUURE</t>
  </si>
  <si>
    <t>CABDI FATAX CALI SAMATAR</t>
  </si>
  <si>
    <t>AXMED SACIID FAARAX</t>
  </si>
  <si>
    <t>YAASIR MAXAMED YUUSUF</t>
  </si>
  <si>
    <t>AHMED DAAHIR AHMED</t>
  </si>
  <si>
    <t>SACIID CABDIRISAAQ JAMAC YUUSUF</t>
  </si>
  <si>
    <t>JAAMAC CISMAAN JAAMAC</t>
  </si>
  <si>
    <t>Amal Mohamed Ise</t>
  </si>
  <si>
    <t>Transportation For pipes fiber (loading unloading Pipes fiber from Garowe to Bosaso)</t>
  </si>
  <si>
    <t>Transportation for cat 6(cate 6 from Qardho to Garowe)</t>
  </si>
  <si>
    <t>miscellanceous exp (petty cash system Development)</t>
  </si>
  <si>
    <t>Refreshment (Refreshment management Bluekom Bosaso)</t>
  </si>
  <si>
    <t>Miscellanceseous exp (Taxi laa isticmaalay internet Installaton galdogob)</t>
  </si>
  <si>
    <t>miscellanceous exp(Prepare for collectors)</t>
  </si>
  <si>
    <t>Miscellanceous exp(Prepare for collectors)</t>
  </si>
  <si>
    <t>Miscellaneous exp ( Prepare for collectors)</t>
  </si>
  <si>
    <t>misecellaneous exp(Prepare collections for Billing)</t>
  </si>
  <si>
    <t>Repair for Vehicle (madaxa cumprasor-ka iyo ku shubis AC)GM466)</t>
  </si>
  <si>
    <t>Repair for Vehicle (oil change vehicle GM466)</t>
  </si>
  <si>
    <t>miscellaneous exp(Prepare for Collection eng ahmed)</t>
  </si>
  <si>
    <t>Qauterly tax vehicle ( tax for vehicle IJ119)</t>
  </si>
  <si>
    <t>Miscellaneous for Billing (RV Books)</t>
  </si>
  <si>
    <t>Repair for Vehicle (oil hydroric and w40 VEHICLE JI119) UJ</t>
  </si>
  <si>
    <t>Transportation for Cate6 (Cat 6 from Bosaso to Qardho)</t>
  </si>
  <si>
    <t>Miscellanceous exp for Isp mudug(Clip No8 10Pc,.Terup 3Pc,Celistep 10Pc)</t>
  </si>
  <si>
    <t>Miscellanceous exp ISP mudug(Rj 45 100pc)</t>
  </si>
  <si>
    <t>Miscellanceous exp (Rj Maker 1pcs)</t>
  </si>
  <si>
    <t>Transportation for Balle (Balle dhacay o la tagay Bosaso)</t>
  </si>
  <si>
    <t>Miscellaneous exp(prepare for collections Billing Nugal)</t>
  </si>
  <si>
    <t>Repair for vehicle (oil change for vehicle plate no JI119 Garowe)</t>
  </si>
  <si>
    <t>Repair for Vehicle (Plag loo soo gadey Gaariga plate n QK466 Mudg)</t>
  </si>
  <si>
    <t>KHALIIF SICIID MUUSE</t>
  </si>
  <si>
    <t>Transportation for cat 6(cate 6 from Qardho to Bosaso)rdho to</t>
  </si>
  <si>
    <t>Repair for Vehicle (oil change for vehicle plate no SG822)</t>
  </si>
  <si>
    <t>miscellaneous exp for ISP (Adapter for ISP Mudug)</t>
  </si>
  <si>
    <t>Repair for Premise 9( Cilad bixinta air conditioner-ka iyo dhejin compresor-ka xafiiska mamulaha Bluekom HQ1 )</t>
  </si>
  <si>
    <t>Transportation for steel Balle (xamaali biraha internet iyo course gari)</t>
  </si>
  <si>
    <t>Transportation for caple security (security xariga cable ka shirkadda Bosaso)</t>
  </si>
  <si>
    <t>KAAH ELECTRICAL GENERAL TRADI</t>
  </si>
  <si>
    <t>IRMAN INTERPRICE COMPANY</t>
  </si>
  <si>
    <t>NATIONAL ELECTRIC COMPANY</t>
  </si>
  <si>
    <t>NUGAAL SPARE PARTS</t>
  </si>
  <si>
    <t xml:space="preserve">RISAALA JET </t>
  </si>
  <si>
    <t>CABDULAAHI MAXAMED</t>
  </si>
  <si>
    <t>KAWSAR AXMED MAXAMED</t>
  </si>
  <si>
    <t>BADANE SPARE PART ONE</t>
  </si>
  <si>
    <t>HORN GAROWE CAR WASH</t>
  </si>
  <si>
    <t xml:space="preserve">SAFARI OIL </t>
  </si>
  <si>
    <t>CABDINAASIR CABDI</t>
  </si>
  <si>
    <t>MURSAL CABDI</t>
  </si>
  <si>
    <t>Account</t>
  </si>
  <si>
    <t>Recipient</t>
  </si>
  <si>
    <t>Amount</t>
  </si>
  <si>
    <t>Approved on</t>
  </si>
  <si>
    <t>Payee</t>
  </si>
  <si>
    <t>Narration</t>
  </si>
  <si>
    <t>PV #</t>
  </si>
  <si>
    <t>Repair for Vehicle (boolbeerin,taangiga lagabedelay gariga SG822 Qrdho)</t>
  </si>
  <si>
    <t>Charge</t>
  </si>
  <si>
    <t>Status</t>
  </si>
  <si>
    <t>Subscriber</t>
  </si>
  <si>
    <t>Completed</t>
  </si>
  <si>
    <t>Merchant</t>
  </si>
  <si>
    <t>Ref #3015605</t>
  </si>
  <si>
    <t>MAXAMUD AADAN XASAN CISMAN</t>
  </si>
  <si>
    <t>Transportation for equipment motor (Qala lo sii dhiibay motorka dhudhub Karkaar)</t>
  </si>
  <si>
    <t>Ref #3015607</t>
  </si>
  <si>
    <t>AXMED MAXAMED AHMED</t>
  </si>
  <si>
    <t>Repair for Premise (welding for front Door HQ1 Qradho)</t>
  </si>
  <si>
    <t>Ref #3015608</t>
  </si>
  <si>
    <t>ABDIKAFI ABDULAHI DIRIE</t>
  </si>
  <si>
    <t>Transportation for simcards(simcards from Galkacyo to salax,Bali-busle,and xarfo)</t>
  </si>
  <si>
    <t>Ref #3015613</t>
  </si>
  <si>
    <t>miscellaneous exp for Sanaag office and sites (Cleaning equipment for Sanaag Office and sites)</t>
  </si>
  <si>
    <t>Ref #3015615</t>
  </si>
  <si>
    <t>AXMED CABDIRAXMAAN ISMAACIIL</t>
  </si>
  <si>
    <t>Transportation for simcards (simcards from Garowe to Burtinle)</t>
  </si>
  <si>
    <t>Ref #3015617</t>
  </si>
  <si>
    <t>Transportation for interlock (xamaalka interlock aargada Bosaso oo la furfuray)</t>
  </si>
  <si>
    <t>Ref #3015618</t>
  </si>
  <si>
    <t>HILOW ELECTROMIC AND COSMETICS (Merchant Code : 729359)</t>
  </si>
  <si>
    <t>Miscellaneous exp For Sanaag(4guluub loo gaday xafiiska iyo Tower-ka Dhahar)</t>
  </si>
  <si>
    <t>Ref #3015620</t>
  </si>
  <si>
    <t>DURDUR PETROLEUM (Merchant Code : 69355)</t>
  </si>
  <si>
    <t>Miscellaneous exp for Sanaag(fuusto loo isticmaalo Biyaha nadafada)</t>
  </si>
  <si>
    <t>Ref #3015627</t>
  </si>
  <si>
    <t>SYL ONE SUPERMARKET ELECTRONIC (Merchant Code : 749796)</t>
  </si>
  <si>
    <t>miscellaneous exp for Bali Buli-Busle(Tuubo shidaal 6.5yaardii one inch ah)</t>
  </si>
  <si>
    <t>Ref #3015629</t>
  </si>
  <si>
    <t>DALSAN ELECTRONIC (Merchant Code : 764526)</t>
  </si>
  <si>
    <t>Miscellaneous exp for Sanaag Xingalool(Xiingalool 5 Guluub oo lo qaaday xafiiska iyo Siteka)</t>
  </si>
  <si>
    <t>Ref #3015632</t>
  </si>
  <si>
    <t>MAXAMED AHMED FAARAY</t>
  </si>
  <si>
    <t>Transportation for Bari site-ka Buraha(loading and unloading for Salt and charcoal)</t>
  </si>
  <si>
    <t>Ref #3015634</t>
  </si>
  <si>
    <t>KHADIIJO SHOP (Merchant Code : 755617)</t>
  </si>
  <si>
    <t>Refershment for mudug Office(tea and water)</t>
  </si>
  <si>
    <t>Ref #3015925</t>
  </si>
  <si>
    <t>CABDUL CALI WARSAME</t>
  </si>
  <si>
    <t>Repair for Vehicle (Repair f shaqada indhaha gariga plate no WX288)</t>
  </si>
  <si>
    <t>Ref #3016016</t>
  </si>
  <si>
    <t>MAXAMUUD AADAN XASAN CISMAAN</t>
  </si>
  <si>
    <t>Transportation for Trip(mohamoud Aadan and eng Mechanic from Gorowe to Burtine,for waniiqley issue investigation)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</si>
</sst>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-[$€-2]* #,##0.00_-;\-[$€-2]* #,##0.00_-;_-[$€-2]* &quot;-&quot;??_-"/>
    <numFmt numFmtId="166" formatCode="[$-409]dd\-mmm\-yy;@"/>
    <numFmt numFmtId="167" formatCode="[$-409]d\-mmm\-yy;@"/>
    <numFmt numFmtId="168" formatCode="[$-409]d\-mmm;@"/>
    <numFmt numFmtId="169" formatCode="m/d/yy;@"/>
  </numFmts>
  <fonts count="40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name val="Arial"/>
    </font>
    <font>
      <sz val="10"/>
      <name val="Times New Roman"/>
      <family val="1"/>
    </font>
    <font>
      <b/>
      <sz val="10"/>
      <name val="Tahoma"/>
      <family val="2"/>
    </font>
    <font>
      <b/>
      <sz val="10"/>
      <name val="Calibri"/>
      <family val="2"/>
    </font>
    <font>
      <b/>
      <sz val="10"/>
      <name val="Arial"/>
      <family val="2"/>
    </font>
    <font>
      <b/>
      <sz val="10"/>
      <name val="Cambria"/>
      <family val="1"/>
      <scheme val="major"/>
    </font>
    <font>
      <sz val="10"/>
      <name val="Angsana New"/>
      <family val="1"/>
      <charset val="222"/>
    </font>
    <font>
      <b/>
      <sz val="10"/>
      <name val="Times New Roman"/>
      <family val="1"/>
    </font>
    <font>
      <sz val="10"/>
      <name val="Courier New"/>
      <family val="3"/>
    </font>
    <font>
      <b/>
      <sz val="10"/>
      <name val="Courier New"/>
      <family val="3"/>
    </font>
    <font>
      <b/>
      <sz val="10"/>
      <name val="Angsana New"/>
      <family val="1"/>
      <charset val="222"/>
    </font>
    <font>
      <b/>
      <sz val="10"/>
      <color rgb="FF0F172A"/>
      <name val="Segoe UI"/>
      <family val="2"/>
    </font>
    <font>
      <sz val="10"/>
      <color rgb="FF212529"/>
      <name val="Segoe UI"/>
      <family val="2"/>
    </font>
    <font>
      <sz val="10"/>
      <color rgb="FF212529"/>
      <name val="Segoe UI"/>
      <family val="2"/>
    </font>
    <font>
      <sz val="10"/>
      <color rgb="FF8E9A9D"/>
      <name val="Segoe UI"/>
      <family val="2"/>
    </font>
    <font>
      <sz val="11"/>
      <color theme="1"/>
      <name val="Segoe UI"/>
      <family val="2"/>
    </font>
    <font>
      <sz val="10"/>
      <name val="Tahoma"/>
      <family val="2"/>
    </font>
    <font>
      <sz val="11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8" fillId="0" borderId="0"/>
    <xf numFmtId="0" fontId="15" fillId="0" borderId="6" applyNumberFormat="0" applyFill="0" applyAlignment="0" applyProtection="0"/>
    <xf numFmtId="0" fontId="16" fillId="7" borderId="0" applyNumberFormat="0" applyBorder="0" applyAlignment="0" applyProtection="0"/>
    <xf numFmtId="0" fontId="2" fillId="0" borderId="0"/>
    <xf numFmtId="0" fontId="1" fillId="4" borderId="7" applyNumberFormat="0" applyFont="0" applyAlignment="0" applyProtection="0"/>
    <xf numFmtId="0" fontId="17" fillId="16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</cellStyleXfs>
  <cellXfs count="132">
    <xf numFmtId="0" fontId="0" fillId="0" borderId="0" xfId="0"/>
    <xf numFmtId="0" fontId="1" fillId="18" borderId="0" xfId="0" applyFont="1" applyFill="1"/>
    <xf numFmtId="0" fontId="1" fillId="18" borderId="10" xfId="0" applyFont="1" applyFill="1" applyBorder="1"/>
    <xf numFmtId="0" fontId="24" fillId="18" borderId="0" xfId="0" applyFont="1" applyFill="1"/>
    <xf numFmtId="0" fontId="1" fillId="18" borderId="0" xfId="0" applyFont="1" applyFill="1" applyAlignment="1">
      <alignment horizontal="left"/>
    </xf>
    <xf numFmtId="0" fontId="1" fillId="18" borderId="0" xfId="0" applyFont="1" applyFill="1" applyAlignment="1">
      <alignment horizontal="center"/>
    </xf>
    <xf numFmtId="43" fontId="1" fillId="18" borderId="0" xfId="28" applyFont="1" applyFill="1"/>
    <xf numFmtId="0" fontId="28" fillId="18" borderId="13" xfId="0" applyFont="1" applyFill="1" applyBorder="1" applyAlignment="1">
      <alignment horizontal="left" wrapText="1"/>
    </xf>
    <xf numFmtId="0" fontId="29" fillId="18" borderId="10" xfId="0" applyFont="1" applyFill="1" applyBorder="1" applyAlignment="1">
      <alignment horizontal="center" vertical="center" wrapText="1"/>
    </xf>
    <xf numFmtId="0" fontId="29" fillId="18" borderId="10" xfId="0" applyFont="1" applyFill="1" applyBorder="1" applyAlignment="1">
      <alignment horizontal="left" vertical="center" wrapText="1"/>
    </xf>
    <xf numFmtId="0" fontId="29" fillId="18" borderId="10" xfId="0" applyFont="1" applyFill="1" applyBorder="1" applyAlignment="1">
      <alignment vertical="center" wrapText="1"/>
    </xf>
    <xf numFmtId="0" fontId="28" fillId="18" borderId="10" xfId="0" applyFont="1" applyFill="1" applyBorder="1" applyAlignment="1">
      <alignment horizontal="left" wrapText="1"/>
    </xf>
    <xf numFmtId="0" fontId="28" fillId="18" borderId="10" xfId="0" applyFont="1" applyFill="1" applyBorder="1" applyAlignment="1">
      <alignment horizontal="center" wrapText="1"/>
    </xf>
    <xf numFmtId="43" fontId="1" fillId="18" borderId="10" xfId="28" applyFont="1" applyFill="1" applyBorder="1"/>
    <xf numFmtId="0" fontId="24" fillId="18" borderId="10" xfId="0" applyFont="1" applyFill="1" applyBorder="1" applyAlignment="1">
      <alignment horizontal="left"/>
    </xf>
    <xf numFmtId="43" fontId="1" fillId="18" borderId="15" xfId="28" applyFont="1" applyFill="1" applyBorder="1" applyAlignment="1">
      <alignment horizontal="left"/>
    </xf>
    <xf numFmtId="0" fontId="23" fillId="18" borderId="15" xfId="0" applyFont="1" applyFill="1" applyBorder="1" applyAlignment="1">
      <alignment horizontal="left" vertical="center"/>
    </xf>
    <xf numFmtId="0" fontId="23" fillId="18" borderId="17" xfId="0" applyFont="1" applyFill="1" applyBorder="1" applyAlignment="1">
      <alignment horizontal="left"/>
    </xf>
    <xf numFmtId="43" fontId="24" fillId="18" borderId="10" xfId="28" applyFont="1" applyFill="1" applyBorder="1" applyAlignment="1">
      <alignment horizontal="left"/>
    </xf>
    <xf numFmtId="0" fontId="23" fillId="18" borderId="10" xfId="0" applyFont="1" applyFill="1" applyBorder="1" applyAlignment="1">
      <alignment horizontal="left" vertical="center"/>
    </xf>
    <xf numFmtId="1" fontId="22" fillId="18" borderId="19" xfId="0" applyNumberFormat="1" applyFont="1" applyFill="1" applyBorder="1" applyAlignment="1">
      <alignment horizontal="left"/>
    </xf>
    <xf numFmtId="44" fontId="25" fillId="18" borderId="10" xfId="47" applyFont="1" applyFill="1" applyBorder="1" applyAlignment="1">
      <alignment horizontal="left" wrapText="1"/>
    </xf>
    <xf numFmtId="43" fontId="24" fillId="18" borderId="19" xfId="28" applyFont="1" applyFill="1" applyBorder="1" applyAlignment="1">
      <alignment horizontal="left"/>
    </xf>
    <xf numFmtId="166" fontId="24" fillId="18" borderId="10" xfId="0" applyNumberFormat="1" applyFont="1" applyFill="1" applyBorder="1" applyAlignment="1">
      <alignment horizontal="left"/>
    </xf>
    <xf numFmtId="44" fontId="25" fillId="18" borderId="10" xfId="47" applyFont="1" applyFill="1" applyBorder="1" applyAlignment="1">
      <alignment horizontal="left"/>
    </xf>
    <xf numFmtId="14" fontId="21" fillId="18" borderId="10" xfId="0" applyNumberFormat="1" applyFont="1" applyFill="1" applyBorder="1" applyAlignment="1">
      <alignment horizontal="left" vertical="center"/>
    </xf>
    <xf numFmtId="0" fontId="21" fillId="18" borderId="10" xfId="0" applyFont="1" applyFill="1" applyBorder="1" applyAlignment="1">
      <alignment horizontal="left" vertical="center"/>
    </xf>
    <xf numFmtId="44" fontId="21" fillId="18" borderId="10" xfId="47" applyFont="1" applyFill="1" applyBorder="1" applyAlignment="1">
      <alignment horizontal="left" vertical="center"/>
    </xf>
    <xf numFmtId="14" fontId="22" fillId="18" borderId="11" xfId="0" applyNumberFormat="1" applyFont="1" applyFill="1" applyBorder="1" applyAlignment="1">
      <alignment horizontal="left" vertical="center"/>
    </xf>
    <xf numFmtId="0" fontId="24" fillId="18" borderId="11" xfId="0" applyFont="1" applyFill="1" applyBorder="1" applyAlignment="1">
      <alignment horizontal="left"/>
    </xf>
    <xf numFmtId="166" fontId="24" fillId="18" borderId="11" xfId="0" applyNumberFormat="1" applyFont="1" applyFill="1" applyBorder="1" applyAlignment="1">
      <alignment horizontal="left"/>
    </xf>
    <xf numFmtId="44" fontId="25" fillId="18" borderId="11" xfId="47" applyFont="1" applyFill="1" applyBorder="1" applyAlignment="1">
      <alignment horizontal="left"/>
    </xf>
    <xf numFmtId="43" fontId="24" fillId="18" borderId="11" xfId="28" applyFont="1" applyFill="1" applyBorder="1" applyAlignment="1">
      <alignment horizontal="left"/>
    </xf>
    <xf numFmtId="43" fontId="24" fillId="18" borderId="12" xfId="28" applyFont="1" applyFill="1" applyBorder="1" applyAlignment="1">
      <alignment horizontal="left"/>
    </xf>
    <xf numFmtId="0" fontId="26" fillId="18" borderId="0" xfId="0" applyFont="1" applyFill="1" applyAlignment="1">
      <alignment horizontal="left" vertical="top"/>
    </xf>
    <xf numFmtId="14" fontId="22" fillId="18" borderId="10" xfId="0" applyNumberFormat="1" applyFont="1" applyFill="1" applyBorder="1" applyAlignment="1">
      <alignment horizontal="left" vertical="top"/>
    </xf>
    <xf numFmtId="0" fontId="22" fillId="18" borderId="10" xfId="0" applyFont="1" applyFill="1" applyBorder="1" applyAlignment="1">
      <alignment horizontal="left" vertical="top"/>
    </xf>
    <xf numFmtId="43" fontId="22" fillId="18" borderId="10" xfId="28" applyFont="1" applyFill="1" applyBorder="1" applyAlignment="1" applyProtection="1">
      <alignment horizontal="left" vertical="top" wrapText="1"/>
      <protection locked="0"/>
    </xf>
    <xf numFmtId="0" fontId="30" fillId="18" borderId="0" xfId="0" applyFont="1" applyFill="1" applyAlignment="1">
      <alignment vertical="top"/>
    </xf>
    <xf numFmtId="0" fontId="22" fillId="18" borderId="10" xfId="0" applyFont="1" applyFill="1" applyBorder="1" applyAlignment="1" applyProtection="1">
      <alignment horizontal="left" vertical="top"/>
      <protection hidden="1"/>
    </xf>
    <xf numFmtId="167" fontId="21" fillId="18" borderId="10" xfId="0" applyNumberFormat="1" applyFont="1" applyFill="1" applyBorder="1" applyAlignment="1">
      <alignment horizontal="left"/>
    </xf>
    <xf numFmtId="14" fontId="21" fillId="18" borderId="10" xfId="0" applyNumberFormat="1" applyFont="1" applyFill="1" applyBorder="1" applyAlignment="1">
      <alignment horizontal="left"/>
    </xf>
    <xf numFmtId="0" fontId="21" fillId="18" borderId="10" xfId="0" applyFont="1" applyFill="1" applyBorder="1" applyAlignment="1">
      <alignment horizontal="left"/>
    </xf>
    <xf numFmtId="44" fontId="21" fillId="18" borderId="10" xfId="47" applyFont="1" applyFill="1" applyBorder="1" applyAlignment="1">
      <alignment horizontal="left"/>
    </xf>
    <xf numFmtId="0" fontId="24" fillId="18" borderId="10" xfId="0" applyFont="1" applyFill="1" applyBorder="1" applyAlignment="1">
      <alignment horizontal="left" vertical="top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right" vertical="center" indent="1"/>
    </xf>
    <xf numFmtId="0" fontId="32" fillId="19" borderId="10" xfId="0" applyFont="1" applyFill="1" applyBorder="1" applyAlignment="1">
      <alignment vertical="center" wrapText="1"/>
    </xf>
    <xf numFmtId="15" fontId="32" fillId="19" borderId="10" xfId="0" applyNumberFormat="1" applyFont="1" applyFill="1" applyBorder="1" applyAlignment="1">
      <alignment vertical="center" wrapText="1"/>
    </xf>
    <xf numFmtId="0" fontId="33" fillId="19" borderId="10" xfId="0" applyFont="1" applyFill="1" applyBorder="1" applyAlignment="1">
      <alignment horizontal="right" vertical="center"/>
    </xf>
    <xf numFmtId="0" fontId="34" fillId="19" borderId="10" xfId="0" applyFont="1" applyFill="1" applyBorder="1" applyAlignment="1">
      <alignment vertical="center" wrapText="1"/>
    </xf>
    <xf numFmtId="0" fontId="34" fillId="19" borderId="10" xfId="0" applyFont="1" applyFill="1" applyBorder="1" applyAlignment="1">
      <alignment vertical="center"/>
    </xf>
    <xf numFmtId="0" fontId="32" fillId="19" borderId="10" xfId="0" applyFont="1" applyFill="1" applyBorder="1" applyAlignment="1">
      <alignment vertical="center"/>
    </xf>
    <xf numFmtId="0" fontId="33" fillId="19" borderId="10" xfId="0" applyFont="1" applyFill="1" applyBorder="1" applyAlignment="1">
      <alignment vertical="center"/>
    </xf>
    <xf numFmtId="0" fontId="21" fillId="18" borderId="10" xfId="0" applyNumberFormat="1" applyFont="1" applyFill="1" applyBorder="1" applyAlignment="1">
      <alignment horizontal="left" vertical="center"/>
    </xf>
    <xf numFmtId="0" fontId="36" fillId="18" borderId="10" xfId="0" applyFont="1" applyFill="1" applyBorder="1" applyAlignment="1" applyProtection="1">
      <alignment horizontal="left" vertical="top"/>
      <protection hidden="1"/>
    </xf>
    <xf numFmtId="0" fontId="22" fillId="18" borderId="15" xfId="0" applyFont="1" applyFill="1" applyBorder="1" applyAlignment="1">
      <alignment horizontal="left" vertical="center"/>
    </xf>
    <xf numFmtId="0" fontId="22" fillId="18" borderId="10" xfId="0" applyFont="1" applyFill="1" applyBorder="1" applyAlignment="1">
      <alignment horizontal="left" vertical="center"/>
    </xf>
    <xf numFmtId="14" fontId="22" fillId="18" borderId="10" xfId="0" applyNumberFormat="1" applyFont="1" applyFill="1" applyBorder="1" applyAlignment="1">
      <alignment horizontal="left" vertical="center"/>
    </xf>
    <xf numFmtId="0" fontId="37" fillId="0" borderId="10" xfId="0" applyFont="1" applyBorder="1"/>
    <xf numFmtId="164" fontId="27" fillId="18" borderId="10" xfId="0" applyNumberFormat="1" applyFont="1" applyFill="1" applyBorder="1" applyAlignment="1">
      <alignment horizontal="left"/>
    </xf>
    <xf numFmtId="0" fontId="27" fillId="18" borderId="10" xfId="0" applyFont="1" applyFill="1" applyBorder="1" applyAlignment="1">
      <alignment horizontal="left"/>
    </xf>
    <xf numFmtId="0" fontId="27" fillId="18" borderId="10" xfId="0" applyFont="1" applyFill="1" applyBorder="1" applyAlignment="1" applyProtection="1">
      <alignment horizontal="left"/>
      <protection hidden="1"/>
    </xf>
    <xf numFmtId="44" fontId="27" fillId="18" borderId="10" xfId="47" applyFont="1" applyFill="1" applyBorder="1" applyAlignment="1">
      <alignment horizontal="left"/>
    </xf>
    <xf numFmtId="0" fontId="0" fillId="18" borderId="0" xfId="0" applyFill="1"/>
    <xf numFmtId="0" fontId="0" fillId="0" borderId="10" xfId="0" applyBorder="1"/>
    <xf numFmtId="44" fontId="0" fillId="0" borderId="0" xfId="47" applyFont="1"/>
    <xf numFmtId="169" fontId="0" fillId="0" borderId="10" xfId="0" applyNumberFormat="1" applyBorder="1" applyAlignment="1">
      <alignment horizontal="left"/>
    </xf>
    <xf numFmtId="0" fontId="1" fillId="0" borderId="10" xfId="0" applyFont="1" applyBorder="1"/>
    <xf numFmtId="0" fontId="0" fillId="0" borderId="0" xfId="0" applyAlignment="1">
      <alignment horizontal="left"/>
    </xf>
    <xf numFmtId="0" fontId="1" fillId="0" borderId="0" xfId="0" applyFont="1"/>
    <xf numFmtId="168" fontId="0" fillId="0" borderId="10" xfId="0" applyNumberFormat="1" applyBorder="1" applyAlignment="1">
      <alignment horizontal="left"/>
    </xf>
    <xf numFmtId="43" fontId="22" fillId="18" borderId="10" xfId="28" applyFont="1" applyFill="1" applyBorder="1" applyAlignment="1">
      <alignment horizontal="left" vertical="top"/>
    </xf>
    <xf numFmtId="0" fontId="38" fillId="18" borderId="10" xfId="0" applyFont="1" applyFill="1" applyBorder="1" applyAlignment="1">
      <alignment horizontal="left"/>
    </xf>
    <xf numFmtId="0" fontId="38" fillId="0" borderId="10" xfId="0" applyFont="1" applyBorder="1" applyAlignment="1">
      <alignment horizontal="left"/>
    </xf>
    <xf numFmtId="15" fontId="1" fillId="0" borderId="10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44" fontId="1" fillId="0" borderId="10" xfId="47" applyFont="1" applyBorder="1"/>
    <xf numFmtId="15" fontId="0" fillId="0" borderId="0" xfId="0" applyNumberFormat="1"/>
    <xf numFmtId="20" fontId="0" fillId="0" borderId="0" xfId="0" applyNumberFormat="1"/>
    <xf numFmtId="44" fontId="0" fillId="0" borderId="0" xfId="0" applyNumberFormat="1"/>
    <xf numFmtId="0" fontId="0" fillId="18" borderId="10" xfId="0" applyFill="1" applyBorder="1" applyAlignment="1"/>
    <xf numFmtId="0" fontId="1" fillId="18" borderId="16" xfId="0" applyFont="1" applyFill="1" applyBorder="1" applyAlignment="1">
      <alignment horizontal="center"/>
    </xf>
    <xf numFmtId="0" fontId="1" fillId="18" borderId="18" xfId="0" applyFont="1" applyFill="1" applyBorder="1" applyAlignment="1">
      <alignment horizontal="center"/>
    </xf>
    <xf numFmtId="0" fontId="1" fillId="18" borderId="14" xfId="0" applyFont="1" applyFill="1" applyBorder="1" applyAlignment="1">
      <alignment horizontal="center"/>
    </xf>
    <xf numFmtId="0" fontId="24" fillId="18" borderId="10" xfId="0" applyFont="1" applyFill="1" applyBorder="1" applyAlignment="1">
      <alignment horizontal="center" vertical="top"/>
    </xf>
    <xf numFmtId="0" fontId="1" fillId="18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18" borderId="10" xfId="0" applyFont="1" applyFill="1" applyBorder="1" applyAlignment="1">
      <alignment horizontal="left"/>
    </xf>
    <xf numFmtId="0" fontId="22" fillId="18" borderId="10" xfId="0" applyFont="1" applyFill="1" applyBorder="1" applyAlignment="1">
      <alignment horizontal="left" vertical="center"/>
    </xf>
    <xf numFmtId="14" fontId="22" fillId="18" borderId="10" xfId="0" applyNumberFormat="1" applyFont="1" applyFill="1" applyBorder="1" applyAlignment="1">
      <alignment horizontal="left" vertical="center"/>
    </xf>
    <xf numFmtId="167" fontId="39" fillId="18" borderId="10" xfId="0" applyNumberFormat="1" applyFont="1" applyFill="1" applyBorder="1" applyAlignment="1">
      <alignment horizontal="left"/>
    </xf>
    <xf numFmtId="0" fontId="39" fillId="18" borderId="10" xfId="0" applyFont="1" applyFill="1" applyBorder="1"/>
    <xf numFmtId="0" fontId="38" fillId="18" borderId="10" xfId="0" applyFont="1" applyFill="1" applyBorder="1"/>
    <xf numFmtId="167" fontId="39" fillId="0" borderId="10" xfId="0" applyNumberFormat="1" applyFont="1" applyBorder="1" applyAlignment="1">
      <alignment horizontal="left"/>
    </xf>
    <xf numFmtId="0" fontId="38" fillId="0" borderId="10" xfId="0" applyFont="1" applyBorder="1"/>
    <xf numFmtId="167" fontId="38" fillId="18" borderId="10" xfId="0" applyNumberFormat="1" applyFont="1" applyFill="1" applyBorder="1" applyAlignment="1">
      <alignment horizontal="left"/>
    </xf>
    <xf numFmtId="0" fontId="38" fillId="0" borderId="10" xfId="0" applyFont="1" applyBorder="1" applyAlignment="1">
      <alignment horizontal="left" wrapText="1"/>
    </xf>
    <xf numFmtId="168" fontId="39" fillId="0" borderId="10" xfId="0" applyNumberFormat="1" applyFont="1" applyBorder="1" applyAlignment="1">
      <alignment horizontal="left"/>
    </xf>
    <xf numFmtId="168" fontId="1" fillId="0" borderId="10" xfId="0" applyNumberFormat="1" applyFont="1" applyBorder="1" applyAlignment="1">
      <alignment horizontal="left"/>
    </xf>
    <xf numFmtId="15" fontId="1" fillId="18" borderId="10" xfId="0" applyNumberFormat="1" applyFont="1" applyFill="1" applyBorder="1" applyAlignment="1">
      <alignment horizontal="left"/>
    </xf>
    <xf numFmtId="44" fontId="1" fillId="18" borderId="10" xfId="47" applyFont="1" applyFill="1" applyBorder="1"/>
    <xf numFmtId="15" fontId="1" fillId="0" borderId="10" xfId="0" applyNumberFormat="1" applyFont="1" applyBorder="1" applyAlignment="1">
      <alignment horizontal="center"/>
    </xf>
    <xf numFmtId="43" fontId="1" fillId="18" borderId="10" xfId="28" applyFont="1" applyFill="1" applyBorder="1" applyAlignment="1">
      <alignment horizontal="left"/>
    </xf>
    <xf numFmtId="0" fontId="23" fillId="18" borderId="10" xfId="0" applyFont="1" applyFill="1" applyBorder="1" applyAlignment="1">
      <alignment horizontal="left"/>
    </xf>
    <xf numFmtId="1" fontId="22" fillId="18" borderId="10" xfId="0" applyNumberFormat="1" applyFont="1" applyFill="1" applyBorder="1" applyAlignment="1">
      <alignment horizontal="left"/>
    </xf>
    <xf numFmtId="0" fontId="24" fillId="18" borderId="10" xfId="0" applyFont="1" applyFill="1" applyBorder="1" applyAlignment="1">
      <alignment vertical="top"/>
    </xf>
    <xf numFmtId="44" fontId="0" fillId="0" borderId="10" xfId="47" applyFont="1" applyBorder="1"/>
    <xf numFmtId="0" fontId="0" fillId="0" borderId="10" xfId="0" applyBorder="1" applyAlignment="1"/>
    <xf numFmtId="0" fontId="35" fillId="0" borderId="10" xfId="0" applyFont="1" applyBorder="1"/>
    <xf numFmtId="0" fontId="0" fillId="0" borderId="10" xfId="0" applyBorder="1" applyAlignment="1">
      <alignment horizontal="center"/>
    </xf>
    <xf numFmtId="0" fontId="1" fillId="18" borderId="10" xfId="0" applyFont="1" applyFill="1" applyBorder="1" applyAlignment="1">
      <alignment horizontal="left"/>
    </xf>
    <xf numFmtId="0" fontId="37" fillId="0" borderId="0" xfId="0" applyFont="1"/>
    <xf numFmtId="43" fontId="1" fillId="18" borderId="0" xfId="28" applyFont="1" applyFill="1" applyBorder="1"/>
    <xf numFmtId="44" fontId="21" fillId="18" borderId="0" xfId="47" applyFont="1" applyFill="1" applyBorder="1" applyAlignment="1">
      <alignment horizontal="left"/>
    </xf>
    <xf numFmtId="0" fontId="28" fillId="18" borderId="20" xfId="0" applyFont="1" applyFill="1" applyBorder="1" applyAlignment="1">
      <alignment horizontal="left" wrapText="1"/>
    </xf>
    <xf numFmtId="0" fontId="29" fillId="18" borderId="20" xfId="0" applyFont="1" applyFill="1" applyBorder="1" applyAlignment="1">
      <alignment horizontal="center" vertical="center" wrapText="1"/>
    </xf>
    <xf numFmtId="0" fontId="29" fillId="18" borderId="20" xfId="0" applyFont="1" applyFill="1" applyBorder="1" applyAlignment="1">
      <alignment horizontal="left" vertical="center" wrapText="1"/>
    </xf>
    <xf numFmtId="0" fontId="29" fillId="18" borderId="20" xfId="0" applyFont="1" applyFill="1" applyBorder="1" applyAlignment="1">
      <alignment vertical="center" wrapText="1"/>
    </xf>
    <xf numFmtId="0" fontId="0" fillId="0" borderId="10" xfId="0" applyBorder="1" applyAlignment="1">
      <alignment horizontal="left"/>
    </xf>
    <xf numFmtId="0" fontId="0" fillId="18" borderId="10" xfId="0" applyFill="1" applyBorder="1" applyAlignment="1">
      <alignment horizontal="center"/>
    </xf>
    <xf numFmtId="15" fontId="1" fillId="18" borderId="10" xfId="0" applyNumberFormat="1" applyFont="1" applyFill="1" applyBorder="1" applyAlignment="1">
      <alignment horizontal="center"/>
    </xf>
    <xf numFmtId="0" fontId="0" fillId="18" borderId="10" xfId="0" applyFill="1" applyBorder="1"/>
    <xf numFmtId="0" fontId="0" fillId="18" borderId="10" xfId="0" applyFill="1" applyBorder="1" applyAlignment="1">
      <alignment horizontal="left"/>
    </xf>
    <xf numFmtId="0" fontId="37" fillId="18" borderId="10" xfId="0" applyFont="1" applyFill="1" applyBorder="1"/>
    <xf numFmtId="0" fontId="1" fillId="18" borderId="15" xfId="0" applyFont="1" applyFill="1" applyBorder="1" applyAlignment="1">
      <alignment horizontal="left"/>
    </xf>
    <xf numFmtId="0" fontId="1" fillId="18" borderId="10" xfId="0" applyFont="1" applyFill="1" applyBorder="1" applyAlignment="1">
      <alignment horizontal="left"/>
    </xf>
    <xf numFmtId="0" fontId="22" fillId="18" borderId="15" xfId="0" applyFont="1" applyFill="1" applyBorder="1" applyAlignment="1">
      <alignment horizontal="left" vertical="center"/>
    </xf>
    <xf numFmtId="0" fontId="22" fillId="18" borderId="10" xfId="0" applyFont="1" applyFill="1" applyBorder="1" applyAlignment="1">
      <alignment horizontal="left" vertical="center"/>
    </xf>
    <xf numFmtId="14" fontId="22" fillId="18" borderId="10" xfId="0" applyNumberFormat="1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10" xfId="46"/>
    <cellStyle name="Currency" xfId="47" builtinId="4"/>
    <cellStyle name="Euro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egal 8½ x 14 in" xfId="37"/>
    <cellStyle name="Linked Cell" xfId="38" builtinId="24" customBuiltin="1"/>
    <cellStyle name="Neutral" xfId="39" builtinId="28" customBuiltin="1"/>
    <cellStyle name="Normal" xfId="0" builtinId="0"/>
    <cellStyle name="Normal 2" xfId="4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colors>
    <mruColors>
      <color rgb="FFFF0066"/>
      <color rgb="FFFF99CC"/>
      <color rgb="FFFF99FF"/>
      <color rgb="FFA5FBB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91108</xdr:colOff>
      <xdr:row>0</xdr:row>
      <xdr:rowOff>66261</xdr:rowOff>
    </xdr:from>
    <xdr:to>
      <xdr:col>3</xdr:col>
      <xdr:colOff>1647824</xdr:colOff>
      <xdr:row>2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EB65BFE-4558-48EA-8A44-4716EEA4E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4483" y="66261"/>
          <a:ext cx="2956891" cy="400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352425</xdr:rowOff>
    </xdr:from>
    <xdr:to>
      <xdr:col>3</xdr:col>
      <xdr:colOff>123825</xdr:colOff>
      <xdr:row>5</xdr:row>
      <xdr:rowOff>200025</xdr:rowOff>
    </xdr:to>
    <xdr:pic>
      <xdr:nvPicPr>
        <xdr:cNvPr id="3" name="Picture 2" descr="images.jf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847725"/>
          <a:ext cx="1495425" cy="638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781050</xdr:colOff>
          <xdr:row>1</xdr:row>
          <xdr:rowOff>47625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2"/>
  <sheetViews>
    <sheetView tabSelected="1" topLeftCell="E1" zoomScaleNormal="100" workbookViewId="0">
      <selection activeCell="F10" sqref="F10"/>
    </sheetView>
  </sheetViews>
  <sheetFormatPr defaultRowHeight="12.75"/>
  <cols>
    <col min="1" max="1" width="5" style="88" bestFit="1" customWidth="1"/>
    <col min="2" max="2" width="10.7109375" style="69" customWidth="1"/>
    <col min="3" max="3" width="10.28515625" customWidth="1"/>
    <col min="4" max="4" width="30.7109375" customWidth="1"/>
    <col min="5" max="5" width="78.85546875" customWidth="1"/>
    <col min="6" max="6" width="17.7109375" customWidth="1"/>
    <col min="7" max="7" width="12.140625" bestFit="1" customWidth="1"/>
    <col min="8" max="8" width="11" customWidth="1"/>
    <col min="9" max="9" width="10.28515625" bestFit="1" customWidth="1"/>
    <col min="10" max="10" width="15.28515625" customWidth="1"/>
    <col min="11" max="11" width="10.28515625" bestFit="1" customWidth="1"/>
    <col min="15" max="15" width="10.28515625" bestFit="1" customWidth="1"/>
  </cols>
  <sheetData>
    <row r="1" spans="1:10">
      <c r="A1" s="82"/>
      <c r="B1" s="126"/>
      <c r="C1" s="126"/>
      <c r="D1" s="126"/>
      <c r="E1" s="128" t="s">
        <v>32</v>
      </c>
      <c r="F1" s="128"/>
      <c r="G1" s="56"/>
      <c r="H1" s="15"/>
      <c r="I1" s="16" t="s">
        <v>24</v>
      </c>
      <c r="J1" s="17" t="s">
        <v>23</v>
      </c>
    </row>
    <row r="2" spans="1:10">
      <c r="A2" s="83"/>
      <c r="B2" s="127"/>
      <c r="C2" s="127"/>
      <c r="D2" s="127"/>
      <c r="E2" s="129"/>
      <c r="F2" s="129"/>
      <c r="G2" s="57"/>
      <c r="H2" s="18"/>
      <c r="I2" s="19" t="s">
        <v>25</v>
      </c>
      <c r="J2" s="20">
        <v>763238</v>
      </c>
    </row>
    <row r="3" spans="1:10">
      <c r="A3" s="83"/>
      <c r="B3" s="127"/>
      <c r="C3" s="127"/>
      <c r="D3" s="127"/>
      <c r="E3" s="130" t="s">
        <v>26</v>
      </c>
      <c r="F3" s="130"/>
      <c r="G3" s="58"/>
      <c r="H3" s="21">
        <v>3.7</v>
      </c>
      <c r="I3" s="18"/>
      <c r="J3" s="22"/>
    </row>
    <row r="4" spans="1:10">
      <c r="A4" s="83"/>
      <c r="B4" s="14" t="s">
        <v>0</v>
      </c>
      <c r="C4" s="14"/>
      <c r="D4" s="23">
        <v>46235</v>
      </c>
      <c r="E4" s="130" t="s">
        <v>3</v>
      </c>
      <c r="F4" s="130"/>
      <c r="G4" s="58"/>
      <c r="H4" s="21" t="e">
        <f>#REF!</f>
        <v>#REF!</v>
      </c>
      <c r="I4" s="18" t="s">
        <v>1</v>
      </c>
      <c r="J4" s="22" t="s">
        <v>14</v>
      </c>
    </row>
    <row r="5" spans="1:10">
      <c r="A5" s="84"/>
      <c r="B5" s="29"/>
      <c r="C5" s="29"/>
      <c r="D5" s="30"/>
      <c r="E5" s="28"/>
      <c r="F5" s="28"/>
      <c r="G5" s="28"/>
      <c r="H5" s="31"/>
      <c r="I5" s="32"/>
      <c r="J5" s="33"/>
    </row>
    <row r="6" spans="1:10" ht="24" customHeight="1">
      <c r="A6" s="85" t="s">
        <v>22</v>
      </c>
      <c r="B6" s="35" t="s">
        <v>4</v>
      </c>
      <c r="C6" s="35" t="s">
        <v>28</v>
      </c>
      <c r="D6" s="36" t="s">
        <v>13</v>
      </c>
      <c r="E6" s="36" t="s">
        <v>15</v>
      </c>
      <c r="F6" s="39" t="s">
        <v>16</v>
      </c>
      <c r="G6" s="39" t="s">
        <v>27</v>
      </c>
      <c r="H6" s="37" t="s">
        <v>29</v>
      </c>
      <c r="I6" s="37" t="s">
        <v>30</v>
      </c>
      <c r="J6" s="72" t="s">
        <v>2</v>
      </c>
    </row>
    <row r="7" spans="1:10">
      <c r="A7" s="85"/>
      <c r="B7" s="35">
        <v>46243</v>
      </c>
      <c r="C7" s="44"/>
      <c r="D7" s="36"/>
      <c r="E7" s="36" t="s">
        <v>40</v>
      </c>
      <c r="F7" s="55"/>
      <c r="G7" s="39"/>
      <c r="H7" s="37">
        <v>100</v>
      </c>
      <c r="I7" s="37"/>
      <c r="J7" s="43">
        <f>H7+H3</f>
        <v>103.7</v>
      </c>
    </row>
    <row r="8" spans="1:10" ht="14.25">
      <c r="A8" s="86"/>
      <c r="B8" s="92"/>
      <c r="C8" s="54"/>
      <c r="D8" s="93"/>
      <c r="E8" s="93"/>
      <c r="F8" s="26"/>
      <c r="G8" s="26"/>
      <c r="H8" s="27"/>
      <c r="I8" s="27">
        <v>4</v>
      </c>
      <c r="J8" s="43">
        <f>J7-I8</f>
        <v>99.7</v>
      </c>
    </row>
    <row r="9" spans="1:10" ht="14.25">
      <c r="A9" s="86"/>
      <c r="B9" s="92"/>
      <c r="C9" s="54"/>
      <c r="D9" s="93"/>
      <c r="E9" s="93"/>
      <c r="F9" s="26"/>
      <c r="G9" s="26"/>
      <c r="H9" s="27"/>
      <c r="I9" s="27">
        <v>14</v>
      </c>
      <c r="J9" s="43">
        <f t="shared" ref="J9:J72" si="0">J8-I9</f>
        <v>85.7</v>
      </c>
    </row>
    <row r="10" spans="1:10" ht="14.25">
      <c r="A10" s="86"/>
      <c r="B10" s="92"/>
      <c r="C10" s="94"/>
      <c r="D10" s="94"/>
      <c r="E10" s="94"/>
      <c r="F10" s="26"/>
      <c r="G10" s="26"/>
      <c r="H10" s="27"/>
      <c r="I10" s="27">
        <v>20</v>
      </c>
      <c r="J10" s="43">
        <f t="shared" si="0"/>
        <v>65.7</v>
      </c>
    </row>
    <row r="11" spans="1:10" ht="14.25">
      <c r="A11" s="86"/>
      <c r="B11" s="92"/>
      <c r="C11" s="73"/>
      <c r="D11" s="94"/>
      <c r="E11" s="94"/>
      <c r="F11" s="26"/>
      <c r="G11" s="26"/>
      <c r="H11" s="27"/>
      <c r="I11" s="27">
        <v>2</v>
      </c>
      <c r="J11" s="43">
        <f t="shared" si="0"/>
        <v>63.7</v>
      </c>
    </row>
    <row r="12" spans="1:10" ht="14.25">
      <c r="A12" s="86"/>
      <c r="B12" s="92"/>
      <c r="C12" s="94"/>
      <c r="D12" s="94"/>
      <c r="E12" s="94"/>
      <c r="F12" s="26"/>
      <c r="G12" s="26"/>
      <c r="H12" s="27"/>
      <c r="I12" s="27">
        <v>14</v>
      </c>
      <c r="J12" s="43">
        <f t="shared" si="0"/>
        <v>49.7</v>
      </c>
    </row>
    <row r="13" spans="1:10" ht="14.25">
      <c r="A13" s="86"/>
      <c r="B13" s="92"/>
      <c r="C13" s="54"/>
      <c r="D13" s="94"/>
      <c r="E13" s="94"/>
      <c r="F13" s="26"/>
      <c r="G13" s="26"/>
      <c r="H13" s="27"/>
      <c r="I13" s="27">
        <v>45</v>
      </c>
      <c r="J13" s="43">
        <f t="shared" si="0"/>
        <v>4.7000000000000028</v>
      </c>
    </row>
    <row r="14" spans="1:10" ht="14.25">
      <c r="A14" s="86"/>
      <c r="B14" s="92"/>
      <c r="C14" s="54"/>
      <c r="D14" s="94"/>
      <c r="E14" s="94"/>
      <c r="F14" s="26"/>
      <c r="G14" s="26"/>
      <c r="H14" s="27"/>
      <c r="I14" s="27">
        <v>14</v>
      </c>
      <c r="J14" s="43">
        <f t="shared" si="0"/>
        <v>-9.2999999999999972</v>
      </c>
    </row>
    <row r="15" spans="1:10" ht="14.25">
      <c r="A15" s="86"/>
      <c r="B15" s="95"/>
      <c r="C15" s="54"/>
      <c r="D15" s="96"/>
      <c r="E15" s="96"/>
      <c r="F15" s="26"/>
      <c r="G15" s="26"/>
      <c r="H15" s="27"/>
      <c r="I15" s="27">
        <v>50</v>
      </c>
      <c r="J15" s="43">
        <f t="shared" si="0"/>
        <v>-59.3</v>
      </c>
    </row>
    <row r="16" spans="1:10" ht="14.25">
      <c r="A16" s="86"/>
      <c r="B16" s="95"/>
      <c r="C16" s="54"/>
      <c r="D16" s="96"/>
      <c r="E16" s="96"/>
      <c r="F16" s="26"/>
      <c r="G16" s="26"/>
      <c r="H16" s="27"/>
      <c r="I16" s="27">
        <v>10</v>
      </c>
      <c r="J16" s="43">
        <f t="shared" si="0"/>
        <v>-69.3</v>
      </c>
    </row>
    <row r="17" spans="1:10" ht="14.25">
      <c r="A17" s="86"/>
      <c r="B17" s="95"/>
      <c r="C17" s="54"/>
      <c r="D17" s="96"/>
      <c r="E17" s="96"/>
      <c r="F17" s="26"/>
      <c r="G17" s="26"/>
      <c r="H17" s="27"/>
      <c r="I17" s="27">
        <v>15</v>
      </c>
      <c r="J17" s="43">
        <f t="shared" si="0"/>
        <v>-84.3</v>
      </c>
    </row>
    <row r="18" spans="1:10" ht="14.25">
      <c r="A18" s="86"/>
      <c r="B18" s="95"/>
      <c r="C18" s="54"/>
      <c r="D18" s="96"/>
      <c r="E18" s="96"/>
      <c r="F18" s="26"/>
      <c r="G18" s="26"/>
      <c r="H18" s="27"/>
      <c r="I18" s="27">
        <v>4</v>
      </c>
      <c r="J18" s="43">
        <f t="shared" si="0"/>
        <v>-88.3</v>
      </c>
    </row>
    <row r="19" spans="1:10" ht="14.25">
      <c r="A19" s="86"/>
      <c r="B19" s="95"/>
      <c r="C19" s="54"/>
      <c r="D19" s="96"/>
      <c r="E19" s="96"/>
      <c r="F19" s="26"/>
      <c r="G19" s="26"/>
      <c r="H19" s="27"/>
      <c r="I19" s="27">
        <v>28</v>
      </c>
      <c r="J19" s="43">
        <f t="shared" si="0"/>
        <v>-116.3</v>
      </c>
    </row>
    <row r="20" spans="1:10" ht="14.25">
      <c r="A20" s="86"/>
      <c r="B20" s="95"/>
      <c r="C20" s="54"/>
      <c r="D20" s="96"/>
      <c r="E20" s="96"/>
      <c r="F20" s="26"/>
      <c r="G20" s="26"/>
      <c r="H20" s="27"/>
      <c r="I20" s="27">
        <v>18</v>
      </c>
      <c r="J20" s="43">
        <f t="shared" si="0"/>
        <v>-134.30000000000001</v>
      </c>
    </row>
    <row r="21" spans="1:10" ht="14.25">
      <c r="A21" s="86"/>
      <c r="B21" s="95"/>
      <c r="C21" s="74"/>
      <c r="D21" s="96"/>
      <c r="E21" s="96"/>
      <c r="F21" s="26"/>
      <c r="G21" s="26"/>
      <c r="H21" s="27"/>
      <c r="I21" s="27">
        <v>24.7</v>
      </c>
      <c r="J21" s="43">
        <f t="shared" si="0"/>
        <v>-159</v>
      </c>
    </row>
    <row r="22" spans="1:10" s="64" customFormat="1" ht="14.25">
      <c r="A22" s="86"/>
      <c r="B22" s="92"/>
      <c r="C22" s="73"/>
      <c r="D22" s="94"/>
      <c r="E22" s="94"/>
      <c r="F22" s="26"/>
      <c r="G22" s="26"/>
      <c r="H22" s="27"/>
      <c r="I22" s="27">
        <v>30</v>
      </c>
      <c r="J22" s="43">
        <f t="shared" si="0"/>
        <v>-189</v>
      </c>
    </row>
    <row r="23" spans="1:10" ht="14.25">
      <c r="A23" s="86"/>
      <c r="B23" s="92"/>
      <c r="C23" s="74"/>
      <c r="D23" s="96"/>
      <c r="E23" s="96"/>
      <c r="F23" s="26"/>
      <c r="G23" s="26"/>
      <c r="H23" s="27"/>
      <c r="I23" s="27">
        <v>15.5</v>
      </c>
      <c r="J23" s="43">
        <f t="shared" si="0"/>
        <v>-204.5</v>
      </c>
    </row>
    <row r="24" spans="1:10" ht="14.25">
      <c r="A24" s="86"/>
      <c r="B24" s="97"/>
      <c r="C24" s="54"/>
      <c r="D24" s="94"/>
      <c r="E24" s="94"/>
      <c r="F24" s="26"/>
      <c r="G24" s="26"/>
      <c r="H24" s="27"/>
      <c r="I24" s="27">
        <v>15</v>
      </c>
      <c r="J24" s="43">
        <f t="shared" si="0"/>
        <v>-219.5</v>
      </c>
    </row>
    <row r="25" spans="1:10" ht="14.25">
      <c r="A25" s="86"/>
      <c r="B25" s="95"/>
      <c r="C25" s="54"/>
      <c r="D25" s="96"/>
      <c r="E25" s="96"/>
      <c r="F25" s="26"/>
      <c r="G25" s="26"/>
      <c r="H25" s="27"/>
      <c r="I25" s="27">
        <v>2</v>
      </c>
      <c r="J25" s="43">
        <f t="shared" si="0"/>
        <v>-221.5</v>
      </c>
    </row>
    <row r="26" spans="1:10" ht="14.25">
      <c r="A26" s="86"/>
      <c r="B26" s="95"/>
      <c r="C26" s="54"/>
      <c r="D26" s="96"/>
      <c r="E26" s="96"/>
      <c r="F26" s="26"/>
      <c r="G26" s="26"/>
      <c r="H26" s="27"/>
      <c r="I26" s="27">
        <v>20</v>
      </c>
      <c r="J26" s="43">
        <f t="shared" si="0"/>
        <v>-241.5</v>
      </c>
    </row>
    <row r="27" spans="1:10" ht="14.25">
      <c r="A27" s="86"/>
      <c r="B27" s="95"/>
      <c r="C27" s="74"/>
      <c r="D27" s="96"/>
      <c r="E27" s="96"/>
      <c r="F27" s="26"/>
      <c r="G27" s="26"/>
      <c r="H27" s="27"/>
      <c r="I27" s="27">
        <v>20</v>
      </c>
      <c r="J27" s="43">
        <f t="shared" si="0"/>
        <v>-261.5</v>
      </c>
    </row>
    <row r="28" spans="1:10" ht="14.25">
      <c r="A28" s="86"/>
      <c r="B28" s="95"/>
      <c r="C28" s="54"/>
      <c r="D28" s="96"/>
      <c r="E28" s="96"/>
      <c r="F28" s="26"/>
      <c r="G28" s="26"/>
      <c r="H28" s="27"/>
      <c r="I28" s="27">
        <v>10</v>
      </c>
      <c r="J28" s="43">
        <f t="shared" si="0"/>
        <v>-271.5</v>
      </c>
    </row>
    <row r="29" spans="1:10" ht="14.25">
      <c r="A29" s="86"/>
      <c r="B29" s="95"/>
      <c r="C29" s="54"/>
      <c r="D29" s="96"/>
      <c r="E29" s="96"/>
      <c r="F29" s="26"/>
      <c r="G29" s="26"/>
      <c r="H29" s="27"/>
      <c r="I29" s="27">
        <v>3</v>
      </c>
      <c r="J29" s="43">
        <f t="shared" si="0"/>
        <v>-274.5</v>
      </c>
    </row>
    <row r="30" spans="1:10" ht="14.25">
      <c r="A30" s="86"/>
      <c r="B30" s="95"/>
      <c r="C30" s="54"/>
      <c r="D30" s="96"/>
      <c r="E30" s="96"/>
      <c r="F30" s="26"/>
      <c r="G30" s="26"/>
      <c r="H30" s="27"/>
      <c r="I30" s="27">
        <v>3.5</v>
      </c>
      <c r="J30" s="43">
        <f t="shared" si="0"/>
        <v>-278</v>
      </c>
    </row>
    <row r="31" spans="1:10" ht="14.25">
      <c r="A31" s="86"/>
      <c r="B31" s="95"/>
      <c r="C31" s="54"/>
      <c r="D31" s="96"/>
      <c r="E31" s="96"/>
      <c r="F31" s="26"/>
      <c r="G31" s="26"/>
      <c r="H31" s="27"/>
      <c r="I31" s="27">
        <v>11</v>
      </c>
      <c r="J31" s="43">
        <f t="shared" si="0"/>
        <v>-289</v>
      </c>
    </row>
    <row r="32" spans="1:10" ht="14.25">
      <c r="A32" s="86"/>
      <c r="B32" s="95"/>
      <c r="C32" s="54"/>
      <c r="D32" s="96"/>
      <c r="E32" s="96"/>
      <c r="F32" s="26"/>
      <c r="G32" s="26"/>
      <c r="H32" s="27"/>
      <c r="I32" s="27">
        <v>5.5</v>
      </c>
      <c r="J32" s="43">
        <f t="shared" si="0"/>
        <v>-294.5</v>
      </c>
    </row>
    <row r="33" spans="1:10" ht="14.25">
      <c r="A33" s="86"/>
      <c r="B33" s="95"/>
      <c r="C33" s="54"/>
      <c r="D33" s="96"/>
      <c r="E33" s="96"/>
      <c r="F33" s="26"/>
      <c r="G33" s="26"/>
      <c r="H33" s="27"/>
      <c r="I33" s="27">
        <v>6</v>
      </c>
      <c r="J33" s="43">
        <f t="shared" si="0"/>
        <v>-300.5</v>
      </c>
    </row>
    <row r="34" spans="1:10" ht="14.25">
      <c r="A34" s="86"/>
      <c r="B34" s="95"/>
      <c r="C34" s="54"/>
      <c r="D34" s="96"/>
      <c r="E34" s="96"/>
      <c r="F34" s="26"/>
      <c r="G34" s="26"/>
      <c r="H34" s="27"/>
      <c r="I34" s="27">
        <v>7</v>
      </c>
      <c r="J34" s="43">
        <f t="shared" si="0"/>
        <v>-307.5</v>
      </c>
    </row>
    <row r="35" spans="1:10" ht="14.25">
      <c r="A35" s="86"/>
      <c r="B35" s="95"/>
      <c r="C35" s="54"/>
      <c r="D35" s="96"/>
      <c r="E35" s="96"/>
      <c r="F35" s="26"/>
      <c r="G35" s="26"/>
      <c r="H35" s="27"/>
      <c r="I35" s="27">
        <v>5</v>
      </c>
      <c r="J35" s="43">
        <f t="shared" si="0"/>
        <v>-312.5</v>
      </c>
    </row>
    <row r="36" spans="1:10" ht="14.25">
      <c r="A36" s="86"/>
      <c r="B36" s="95"/>
      <c r="C36" s="74"/>
      <c r="D36" s="96"/>
      <c r="E36" s="96"/>
      <c r="F36" s="26"/>
      <c r="G36" s="26"/>
      <c r="H36" s="27"/>
      <c r="I36" s="27">
        <v>19.600000000000001</v>
      </c>
      <c r="J36" s="43">
        <f t="shared" si="0"/>
        <v>-332.1</v>
      </c>
    </row>
    <row r="37" spans="1:10" ht="14.25">
      <c r="A37" s="86"/>
      <c r="B37" s="95"/>
      <c r="C37" s="54"/>
      <c r="D37" s="96"/>
      <c r="E37" s="96"/>
      <c r="F37" s="26"/>
      <c r="G37" s="26"/>
      <c r="H37" s="27"/>
      <c r="I37" s="27">
        <v>14</v>
      </c>
      <c r="J37" s="43">
        <f t="shared" si="0"/>
        <v>-346.1</v>
      </c>
    </row>
    <row r="38" spans="1:10" ht="14.25">
      <c r="A38" s="86"/>
      <c r="B38" s="95"/>
      <c r="C38" s="54"/>
      <c r="D38" s="96"/>
      <c r="E38" s="96"/>
      <c r="F38" s="26"/>
      <c r="G38" s="26"/>
      <c r="H38" s="27"/>
      <c r="I38" s="27">
        <v>30</v>
      </c>
      <c r="J38" s="43">
        <f t="shared" si="0"/>
        <v>-376.1</v>
      </c>
    </row>
    <row r="39" spans="1:10" ht="14.25">
      <c r="A39" s="86"/>
      <c r="B39" s="95"/>
      <c r="C39" s="74"/>
      <c r="D39" s="96"/>
      <c r="E39" s="96"/>
      <c r="F39" s="26"/>
      <c r="G39" s="26"/>
      <c r="H39" s="27"/>
      <c r="I39" s="27">
        <v>13</v>
      </c>
      <c r="J39" s="43">
        <f>J38-I39</f>
        <v>-389.1</v>
      </c>
    </row>
    <row r="40" spans="1:10" ht="14.25">
      <c r="A40" s="86"/>
      <c r="B40" s="95"/>
      <c r="C40" s="74"/>
      <c r="D40" s="96"/>
      <c r="E40" s="96"/>
      <c r="F40" s="26"/>
      <c r="G40" s="26"/>
      <c r="H40" s="27"/>
      <c r="I40" s="27">
        <v>16</v>
      </c>
      <c r="J40" s="43">
        <f t="shared" si="0"/>
        <v>-405.1</v>
      </c>
    </row>
    <row r="41" spans="1:10" s="1" customFormat="1" ht="14.25">
      <c r="A41" s="86"/>
      <c r="B41" s="97"/>
      <c r="C41" s="54"/>
      <c r="D41" s="94"/>
      <c r="E41" s="94"/>
      <c r="F41" s="26"/>
      <c r="G41" s="26"/>
      <c r="H41" s="27"/>
      <c r="I41" s="27">
        <v>15</v>
      </c>
      <c r="J41" s="43">
        <f t="shared" si="0"/>
        <v>-420.1</v>
      </c>
    </row>
    <row r="42" spans="1:10" ht="23.25" customHeight="1">
      <c r="A42" s="86"/>
      <c r="B42" s="95"/>
      <c r="C42" s="54"/>
      <c r="D42" s="96"/>
      <c r="E42" s="98"/>
      <c r="F42" s="26"/>
      <c r="G42" s="26"/>
      <c r="H42" s="27"/>
      <c r="I42" s="27">
        <v>19</v>
      </c>
      <c r="J42" s="43">
        <f t="shared" si="0"/>
        <v>-439.1</v>
      </c>
    </row>
    <row r="43" spans="1:10" ht="14.25">
      <c r="A43" s="86"/>
      <c r="B43" s="95"/>
      <c r="C43" s="54"/>
      <c r="D43" s="25"/>
      <c r="E43" s="96"/>
      <c r="F43" s="26"/>
      <c r="G43" s="26"/>
      <c r="H43" s="27"/>
      <c r="I43" s="27">
        <v>20</v>
      </c>
      <c r="J43" s="43">
        <f t="shared" si="0"/>
        <v>-459.1</v>
      </c>
    </row>
    <row r="44" spans="1:10" ht="14.25">
      <c r="A44" s="86"/>
      <c r="B44" s="95"/>
      <c r="C44" s="73"/>
      <c r="D44" s="96"/>
      <c r="E44" s="96"/>
      <c r="F44" s="26"/>
      <c r="G44" s="26"/>
      <c r="H44" s="27"/>
      <c r="I44" s="27">
        <v>18</v>
      </c>
      <c r="J44" s="43">
        <f t="shared" si="0"/>
        <v>-477.1</v>
      </c>
    </row>
    <row r="45" spans="1:10" ht="14.25">
      <c r="A45" s="86"/>
      <c r="B45" s="95"/>
      <c r="C45" s="74"/>
      <c r="D45" s="96"/>
      <c r="E45" s="96"/>
      <c r="F45" s="26"/>
      <c r="G45" s="26"/>
      <c r="H45" s="27"/>
      <c r="I45" s="27">
        <v>9.75</v>
      </c>
      <c r="J45" s="43">
        <f t="shared" si="0"/>
        <v>-486.85</v>
      </c>
    </row>
    <row r="46" spans="1:10" ht="14.25">
      <c r="A46" s="86"/>
      <c r="B46" s="95"/>
      <c r="C46" s="74"/>
      <c r="D46" s="96"/>
      <c r="E46" s="96"/>
      <c r="F46" s="26"/>
      <c r="G46" s="26"/>
      <c r="H46" s="27"/>
      <c r="I46" s="27">
        <v>41.8</v>
      </c>
      <c r="J46" s="43">
        <f t="shared" si="0"/>
        <v>-528.65</v>
      </c>
    </row>
    <row r="47" spans="1:10" ht="14.25">
      <c r="A47" s="86"/>
      <c r="B47" s="95"/>
      <c r="C47" s="74"/>
      <c r="D47" s="96"/>
      <c r="E47" s="96"/>
      <c r="F47" s="26"/>
      <c r="G47" s="26"/>
      <c r="H47" s="27"/>
      <c r="I47" s="27">
        <v>50</v>
      </c>
      <c r="J47" s="43">
        <f t="shared" si="0"/>
        <v>-578.65</v>
      </c>
    </row>
    <row r="48" spans="1:10" ht="14.25">
      <c r="A48" s="86"/>
      <c r="B48" s="95"/>
      <c r="C48" s="54"/>
      <c r="D48" s="96"/>
      <c r="E48" s="96"/>
      <c r="F48" s="26"/>
      <c r="G48" s="26"/>
      <c r="H48" s="27"/>
      <c r="I48" s="27">
        <v>33</v>
      </c>
      <c r="J48" s="43">
        <f t="shared" si="0"/>
        <v>-611.65</v>
      </c>
    </row>
    <row r="49" spans="1:15" s="64" customFormat="1" ht="14.25">
      <c r="A49" s="86"/>
      <c r="B49" s="92"/>
      <c r="C49" s="54"/>
      <c r="D49" s="94"/>
      <c r="E49" s="94"/>
      <c r="F49" s="26"/>
      <c r="G49" s="26"/>
      <c r="H49" s="27"/>
      <c r="I49" s="27">
        <v>2</v>
      </c>
      <c r="J49" s="43">
        <f t="shared" si="0"/>
        <v>-613.65</v>
      </c>
    </row>
    <row r="50" spans="1:15" ht="14.25">
      <c r="A50" s="86"/>
      <c r="B50" s="95"/>
      <c r="C50" s="54"/>
      <c r="D50" s="96"/>
      <c r="E50" s="96"/>
      <c r="F50" s="26"/>
      <c r="G50" s="26"/>
      <c r="H50" s="27"/>
      <c r="I50" s="27">
        <v>4</v>
      </c>
      <c r="J50" s="43">
        <f t="shared" si="0"/>
        <v>-617.65</v>
      </c>
    </row>
    <row r="51" spans="1:15" ht="14.25">
      <c r="A51" s="86"/>
      <c r="B51" s="95"/>
      <c r="C51" s="54"/>
      <c r="D51" s="94"/>
      <c r="E51" s="96"/>
      <c r="F51" s="26"/>
      <c r="G51" s="26"/>
      <c r="H51" s="27"/>
      <c r="I51" s="27">
        <v>15</v>
      </c>
      <c r="J51" s="43">
        <f t="shared" si="0"/>
        <v>-632.65</v>
      </c>
    </row>
    <row r="52" spans="1:15" ht="14.25">
      <c r="A52" s="86"/>
      <c r="B52" s="95"/>
      <c r="C52" s="54"/>
      <c r="D52" s="96"/>
      <c r="E52" s="96"/>
      <c r="F52" s="26"/>
      <c r="G52" s="26"/>
      <c r="H52" s="27"/>
      <c r="I52" s="27">
        <v>40</v>
      </c>
      <c r="J52" s="43">
        <f t="shared" si="0"/>
        <v>-672.65</v>
      </c>
    </row>
    <row r="53" spans="1:15" ht="14.25">
      <c r="A53" s="86"/>
      <c r="B53" s="95"/>
      <c r="C53" s="54"/>
      <c r="D53" s="96"/>
      <c r="E53" s="96"/>
      <c r="F53" s="26"/>
      <c r="G53" s="26"/>
      <c r="H53" s="27"/>
      <c r="I53" s="27">
        <v>6</v>
      </c>
      <c r="J53" s="43">
        <f t="shared" si="0"/>
        <v>-678.65</v>
      </c>
    </row>
    <row r="54" spans="1:15" ht="14.25">
      <c r="A54" s="86"/>
      <c r="B54" s="95"/>
      <c r="C54" s="54"/>
      <c r="D54" s="96"/>
      <c r="E54" s="96"/>
      <c r="F54" s="26"/>
      <c r="G54" s="26"/>
      <c r="H54" s="27"/>
      <c r="I54" s="27">
        <v>15</v>
      </c>
      <c r="J54" s="43">
        <f t="shared" si="0"/>
        <v>-693.65</v>
      </c>
    </row>
    <row r="55" spans="1:15" ht="14.25">
      <c r="A55" s="86"/>
      <c r="B55" s="95"/>
      <c r="C55" s="54"/>
      <c r="D55" s="96"/>
      <c r="E55" s="96"/>
      <c r="F55" s="26"/>
      <c r="G55" s="26"/>
      <c r="H55" s="27"/>
      <c r="I55" s="27">
        <v>5</v>
      </c>
      <c r="J55" s="43">
        <f t="shared" si="0"/>
        <v>-698.65</v>
      </c>
    </row>
    <row r="56" spans="1:15" ht="14.25">
      <c r="A56" s="86"/>
      <c r="B56" s="95"/>
      <c r="C56" s="54"/>
      <c r="D56" s="96"/>
      <c r="E56" s="94"/>
      <c r="F56" s="26"/>
      <c r="G56" s="26"/>
      <c r="H56" s="27"/>
      <c r="I56" s="27">
        <v>20</v>
      </c>
      <c r="J56" s="43">
        <f t="shared" si="0"/>
        <v>-718.65</v>
      </c>
    </row>
    <row r="57" spans="1:15" ht="14.25">
      <c r="A57" s="86"/>
      <c r="B57" s="95"/>
      <c r="C57" s="54"/>
      <c r="D57" s="96"/>
      <c r="E57" s="96"/>
      <c r="F57" s="26"/>
      <c r="G57" s="26"/>
      <c r="H57" s="27"/>
      <c r="I57" s="27">
        <v>5</v>
      </c>
      <c r="J57" s="43">
        <f t="shared" si="0"/>
        <v>-723.65</v>
      </c>
    </row>
    <row r="58" spans="1:15" ht="16.5">
      <c r="A58" s="86"/>
      <c r="B58" s="95"/>
      <c r="C58" s="54"/>
      <c r="D58" s="96"/>
      <c r="E58" s="96"/>
      <c r="F58" s="26"/>
      <c r="G58" s="26"/>
      <c r="H58" s="27"/>
      <c r="I58" s="27">
        <v>5</v>
      </c>
      <c r="J58" s="43">
        <f t="shared" si="0"/>
        <v>-728.65</v>
      </c>
      <c r="O58" s="59" t="s">
        <v>223</v>
      </c>
    </row>
    <row r="59" spans="1:15" ht="16.5">
      <c r="A59" s="86"/>
      <c r="B59" s="99"/>
      <c r="C59" s="54"/>
      <c r="D59" s="96"/>
      <c r="E59" s="96"/>
      <c r="F59" s="26"/>
      <c r="G59" s="26"/>
      <c r="H59" s="27"/>
      <c r="I59" s="27">
        <v>10</v>
      </c>
      <c r="J59" s="43">
        <f t="shared" si="0"/>
        <v>-738.65</v>
      </c>
      <c r="O59" s="59" t="s">
        <v>224</v>
      </c>
    </row>
    <row r="60" spans="1:15">
      <c r="A60" s="87"/>
      <c r="B60" s="100"/>
      <c r="C60" s="76"/>
      <c r="D60" s="68"/>
      <c r="E60" s="68"/>
      <c r="F60" s="26"/>
      <c r="G60" s="26"/>
      <c r="H60" s="27"/>
      <c r="I60" s="77">
        <v>10</v>
      </c>
      <c r="J60" s="43">
        <f t="shared" si="0"/>
        <v>-748.65</v>
      </c>
    </row>
    <row r="61" spans="1:15">
      <c r="A61" s="87"/>
      <c r="B61" s="100"/>
      <c r="C61" s="76"/>
      <c r="D61" s="68"/>
      <c r="E61" s="68"/>
      <c r="F61" s="26"/>
      <c r="G61" s="26"/>
      <c r="H61" s="27"/>
      <c r="I61" s="77">
        <v>20</v>
      </c>
      <c r="J61" s="43">
        <f t="shared" si="0"/>
        <v>-768.65</v>
      </c>
    </row>
    <row r="62" spans="1:15">
      <c r="A62" s="87"/>
      <c r="B62" s="100"/>
      <c r="C62" s="76"/>
      <c r="D62" s="68"/>
      <c r="E62" s="68"/>
      <c r="F62" s="26"/>
      <c r="G62" s="26"/>
      <c r="H62" s="27"/>
      <c r="I62" s="77">
        <v>24</v>
      </c>
      <c r="J62" s="43">
        <f t="shared" si="0"/>
        <v>-792.65</v>
      </c>
    </row>
    <row r="63" spans="1:15">
      <c r="A63" s="87"/>
      <c r="B63" s="100"/>
      <c r="C63" s="76"/>
      <c r="D63" s="68"/>
      <c r="E63" s="68"/>
      <c r="F63" s="26"/>
      <c r="G63" s="26"/>
      <c r="H63" s="27"/>
      <c r="I63" s="77">
        <v>43</v>
      </c>
      <c r="J63" s="43">
        <f t="shared" si="0"/>
        <v>-835.65</v>
      </c>
    </row>
    <row r="64" spans="1:15">
      <c r="A64" s="87"/>
      <c r="B64" s="100"/>
      <c r="C64" s="76"/>
      <c r="D64" s="68"/>
      <c r="E64" s="68"/>
      <c r="F64" s="26"/>
      <c r="G64" s="26"/>
      <c r="H64" s="27"/>
      <c r="I64" s="77">
        <v>4.5</v>
      </c>
      <c r="J64" s="43">
        <f t="shared" si="0"/>
        <v>-840.15</v>
      </c>
    </row>
    <row r="65" spans="1:10">
      <c r="A65" s="87"/>
      <c r="B65" s="75"/>
      <c r="C65" s="76"/>
      <c r="D65" s="68"/>
      <c r="E65" s="68"/>
      <c r="F65" s="26"/>
      <c r="G65" s="26"/>
      <c r="H65" s="27"/>
      <c r="I65" s="77">
        <v>10</v>
      </c>
      <c r="J65" s="43">
        <f t="shared" si="0"/>
        <v>-850.15</v>
      </c>
    </row>
    <row r="66" spans="1:10">
      <c r="A66" s="87"/>
      <c r="B66" s="75"/>
      <c r="C66" s="76"/>
      <c r="D66" s="68"/>
      <c r="E66" s="68"/>
      <c r="F66" s="26"/>
      <c r="G66" s="26"/>
      <c r="H66" s="27"/>
      <c r="I66" s="77">
        <v>15.5</v>
      </c>
      <c r="J66" s="43">
        <f t="shared" si="0"/>
        <v>-865.65</v>
      </c>
    </row>
    <row r="67" spans="1:10">
      <c r="A67" s="87"/>
      <c r="B67" s="75"/>
      <c r="C67" s="76"/>
      <c r="D67" s="68"/>
      <c r="E67" s="68"/>
      <c r="F67" s="26"/>
      <c r="G67" s="26"/>
      <c r="H67" s="27"/>
      <c r="I67" s="77">
        <v>12</v>
      </c>
      <c r="J67" s="43">
        <f t="shared" si="0"/>
        <v>-877.65</v>
      </c>
    </row>
    <row r="68" spans="1:10">
      <c r="A68" s="87"/>
      <c r="B68" s="75"/>
      <c r="C68" s="76"/>
      <c r="D68" s="68"/>
      <c r="E68" s="68"/>
      <c r="F68" s="26"/>
      <c r="G68" s="26"/>
      <c r="H68" s="27"/>
      <c r="I68" s="77">
        <v>6</v>
      </c>
      <c r="J68" s="43">
        <f t="shared" si="0"/>
        <v>-883.65</v>
      </c>
    </row>
    <row r="69" spans="1:10">
      <c r="A69" s="87"/>
      <c r="B69" s="75"/>
      <c r="C69" s="76"/>
      <c r="D69" s="68"/>
      <c r="E69" s="68"/>
      <c r="F69" s="26"/>
      <c r="G69" s="26"/>
      <c r="H69" s="27"/>
      <c r="I69" s="77">
        <v>5</v>
      </c>
      <c r="J69" s="43">
        <f t="shared" si="0"/>
        <v>-888.65</v>
      </c>
    </row>
    <row r="70" spans="1:10">
      <c r="A70" s="87"/>
      <c r="B70" s="75"/>
      <c r="C70" s="76"/>
      <c r="D70" s="68"/>
      <c r="E70" s="68"/>
      <c r="F70" s="26"/>
      <c r="G70" s="26"/>
      <c r="H70" s="27"/>
      <c r="I70" s="77">
        <v>25</v>
      </c>
      <c r="J70" s="43">
        <f t="shared" si="0"/>
        <v>-913.65</v>
      </c>
    </row>
    <row r="71" spans="1:10">
      <c r="A71" s="87"/>
      <c r="B71" s="75"/>
      <c r="C71" s="76"/>
      <c r="D71" s="68"/>
      <c r="E71" s="68"/>
      <c r="F71" s="26"/>
      <c r="G71" s="26"/>
      <c r="H71" s="27"/>
      <c r="I71" s="77">
        <v>29</v>
      </c>
      <c r="J71" s="43">
        <f t="shared" si="0"/>
        <v>-942.65</v>
      </c>
    </row>
    <row r="72" spans="1:10">
      <c r="A72" s="87"/>
      <c r="B72" s="75"/>
      <c r="C72" s="76"/>
      <c r="D72" s="68"/>
      <c r="E72" s="68"/>
      <c r="F72" s="26"/>
      <c r="G72" s="26"/>
      <c r="H72" s="27"/>
      <c r="I72" s="77">
        <v>10.5</v>
      </c>
      <c r="J72" s="43">
        <f t="shared" si="0"/>
        <v>-953.15</v>
      </c>
    </row>
    <row r="73" spans="1:10">
      <c r="A73" s="87"/>
      <c r="B73" s="75"/>
      <c r="C73" s="76"/>
      <c r="D73" s="68"/>
      <c r="E73" s="68"/>
      <c r="F73" s="26"/>
      <c r="G73" s="26"/>
      <c r="H73" s="27"/>
      <c r="I73" s="77">
        <v>18</v>
      </c>
      <c r="J73" s="43">
        <f t="shared" ref="J73:J158" si="1">J72-I73</f>
        <v>-971.15</v>
      </c>
    </row>
    <row r="74" spans="1:10">
      <c r="A74" s="87"/>
      <c r="B74" s="75"/>
      <c r="C74" s="76"/>
      <c r="D74" s="68"/>
      <c r="E74" s="68"/>
      <c r="F74" s="26"/>
      <c r="G74" s="26"/>
      <c r="H74" s="27"/>
      <c r="I74" s="77">
        <v>10</v>
      </c>
      <c r="J74" s="43">
        <f t="shared" si="1"/>
        <v>-981.15</v>
      </c>
    </row>
    <row r="75" spans="1:10" s="64" customFormat="1">
      <c r="A75" s="86"/>
      <c r="B75" s="101"/>
      <c r="C75" s="112"/>
      <c r="D75" s="2"/>
      <c r="E75" s="2"/>
      <c r="F75" s="26"/>
      <c r="G75" s="26"/>
      <c r="H75" s="27"/>
      <c r="I75" s="102">
        <v>47</v>
      </c>
      <c r="J75" s="43">
        <f t="shared" si="1"/>
        <v>-1028.1500000000001</v>
      </c>
    </row>
    <row r="76" spans="1:10">
      <c r="A76" s="87"/>
      <c r="B76" s="75"/>
      <c r="C76" s="76"/>
      <c r="D76" s="68"/>
      <c r="E76" s="68"/>
      <c r="F76" s="26"/>
      <c r="G76" s="26"/>
      <c r="H76" s="27"/>
      <c r="I76" s="77">
        <v>18</v>
      </c>
      <c r="J76" s="43">
        <f t="shared" si="1"/>
        <v>-1046.1500000000001</v>
      </c>
    </row>
    <row r="77" spans="1:10">
      <c r="A77" s="87"/>
      <c r="B77" s="75"/>
      <c r="C77" s="76"/>
      <c r="D77" s="68"/>
      <c r="E77" s="68"/>
      <c r="F77" s="26"/>
      <c r="G77" s="26"/>
      <c r="H77" s="27"/>
      <c r="I77" s="77">
        <v>18</v>
      </c>
      <c r="J77" s="43">
        <f t="shared" si="1"/>
        <v>-1064.1500000000001</v>
      </c>
    </row>
    <row r="78" spans="1:10">
      <c r="A78" s="87"/>
      <c r="B78" s="75"/>
      <c r="C78" s="76"/>
      <c r="D78" s="68"/>
      <c r="E78" s="68"/>
      <c r="F78" s="26"/>
      <c r="G78" s="26"/>
      <c r="H78" s="27"/>
      <c r="I78" s="77">
        <v>20</v>
      </c>
      <c r="J78" s="43">
        <f t="shared" si="1"/>
        <v>-1084.1500000000001</v>
      </c>
    </row>
    <row r="79" spans="1:10">
      <c r="A79" s="87"/>
      <c r="B79" s="75"/>
      <c r="C79" s="76"/>
      <c r="D79" s="68"/>
      <c r="E79" s="68"/>
      <c r="F79" s="26"/>
      <c r="G79" s="26"/>
      <c r="H79" s="27"/>
      <c r="I79" s="77">
        <v>25</v>
      </c>
      <c r="J79" s="43">
        <f t="shared" si="1"/>
        <v>-1109.1500000000001</v>
      </c>
    </row>
    <row r="80" spans="1:10">
      <c r="A80" s="87"/>
      <c r="B80" s="75"/>
      <c r="C80" s="76"/>
      <c r="D80" s="68"/>
      <c r="E80" s="68"/>
      <c r="F80" s="26"/>
      <c r="G80" s="26"/>
      <c r="H80" s="27"/>
      <c r="I80" s="77">
        <v>20</v>
      </c>
      <c r="J80" s="43">
        <f t="shared" si="1"/>
        <v>-1129.1500000000001</v>
      </c>
    </row>
    <row r="81" spans="1:10">
      <c r="A81" s="87"/>
      <c r="B81" s="75"/>
      <c r="C81" s="76"/>
      <c r="D81" s="68"/>
      <c r="E81" s="68"/>
      <c r="F81" s="26"/>
      <c r="G81" s="26"/>
      <c r="H81" s="27"/>
      <c r="I81" s="77">
        <v>15</v>
      </c>
      <c r="J81" s="43">
        <f t="shared" si="1"/>
        <v>-1144.1500000000001</v>
      </c>
    </row>
    <row r="82" spans="1:10">
      <c r="A82" s="87"/>
      <c r="B82" s="75"/>
      <c r="C82" s="76"/>
      <c r="D82" s="68"/>
      <c r="E82" s="68"/>
      <c r="F82" s="26"/>
      <c r="G82" s="26"/>
      <c r="H82" s="27"/>
      <c r="I82" s="77">
        <v>28.2</v>
      </c>
      <c r="J82" s="43">
        <f t="shared" si="1"/>
        <v>-1172.3500000000001</v>
      </c>
    </row>
    <row r="83" spans="1:10">
      <c r="A83" s="87"/>
      <c r="B83" s="75"/>
      <c r="C83" s="76"/>
      <c r="D83" s="68"/>
      <c r="E83" s="68"/>
      <c r="F83" s="26"/>
      <c r="G83" s="26"/>
      <c r="H83" s="27"/>
      <c r="I83" s="77">
        <v>25</v>
      </c>
      <c r="J83" s="43">
        <f t="shared" si="1"/>
        <v>-1197.3500000000001</v>
      </c>
    </row>
    <row r="84" spans="1:10">
      <c r="A84" s="87"/>
      <c r="B84" s="75"/>
      <c r="C84" s="76"/>
      <c r="D84" s="68"/>
      <c r="E84" s="68"/>
      <c r="F84" s="26"/>
      <c r="G84" s="26"/>
      <c r="H84" s="27"/>
      <c r="I84" s="77">
        <v>14.5</v>
      </c>
      <c r="J84" s="43">
        <f t="shared" si="1"/>
        <v>-1211.8500000000001</v>
      </c>
    </row>
    <row r="85" spans="1:10">
      <c r="A85" s="87"/>
      <c r="B85" s="75"/>
      <c r="C85" s="76"/>
      <c r="D85" s="68"/>
      <c r="E85" s="68"/>
      <c r="F85" s="26"/>
      <c r="G85" s="26"/>
      <c r="H85" s="27"/>
      <c r="I85" s="77">
        <v>10</v>
      </c>
      <c r="J85" s="43">
        <f t="shared" si="1"/>
        <v>-1221.8500000000001</v>
      </c>
    </row>
    <row r="86" spans="1:10">
      <c r="A86" s="87"/>
      <c r="B86" s="75"/>
      <c r="C86" s="76"/>
      <c r="D86" s="68"/>
      <c r="E86" s="68"/>
      <c r="F86" s="26"/>
      <c r="G86" s="26"/>
      <c r="H86" s="27"/>
      <c r="I86" s="77">
        <v>41.1</v>
      </c>
      <c r="J86" s="43">
        <f t="shared" si="1"/>
        <v>-1262.95</v>
      </c>
    </row>
    <row r="87" spans="1:10">
      <c r="A87" s="87"/>
      <c r="B87" s="75"/>
      <c r="C87" s="76"/>
      <c r="D87" s="68"/>
      <c r="E87" s="68"/>
      <c r="F87" s="26"/>
      <c r="G87" s="26"/>
      <c r="H87" s="27"/>
      <c r="I87" s="77">
        <v>4</v>
      </c>
      <c r="J87" s="43">
        <f t="shared" si="1"/>
        <v>-1266.95</v>
      </c>
    </row>
    <row r="88" spans="1:10">
      <c r="A88" s="87"/>
      <c r="B88" s="75"/>
      <c r="C88" s="76"/>
      <c r="D88" s="68"/>
      <c r="E88" s="68"/>
      <c r="F88" s="26"/>
      <c r="G88" s="26"/>
      <c r="H88" s="27"/>
      <c r="I88" s="77">
        <v>27</v>
      </c>
      <c r="J88" s="43">
        <f t="shared" si="1"/>
        <v>-1293.95</v>
      </c>
    </row>
    <row r="89" spans="1:10">
      <c r="A89" s="87"/>
      <c r="B89" s="75"/>
      <c r="C89" s="76"/>
      <c r="D89" s="68"/>
      <c r="E89" s="68"/>
      <c r="F89" s="26"/>
      <c r="G89" s="26"/>
      <c r="H89" s="27"/>
      <c r="I89" s="77">
        <v>25</v>
      </c>
      <c r="J89" s="43">
        <f t="shared" si="1"/>
        <v>-1318.95</v>
      </c>
    </row>
    <row r="90" spans="1:10">
      <c r="A90" s="87"/>
      <c r="B90" s="75"/>
      <c r="C90" s="76"/>
      <c r="D90" s="68"/>
      <c r="E90" s="68"/>
      <c r="F90" s="26"/>
      <c r="G90" s="26"/>
      <c r="H90" s="27"/>
      <c r="I90" s="77">
        <v>16</v>
      </c>
      <c r="J90" s="43">
        <f t="shared" si="1"/>
        <v>-1334.95</v>
      </c>
    </row>
    <row r="91" spans="1:10" s="64" customFormat="1" ht="13.5" customHeight="1">
      <c r="A91" s="86"/>
      <c r="B91" s="101"/>
      <c r="C91" s="112"/>
      <c r="D91" s="2"/>
      <c r="E91" s="2"/>
      <c r="F91" s="26"/>
      <c r="G91" s="26"/>
      <c r="H91" s="27"/>
      <c r="I91" s="102">
        <v>10</v>
      </c>
      <c r="J91" s="43">
        <f t="shared" si="1"/>
        <v>-1344.95</v>
      </c>
    </row>
    <row r="92" spans="1:10" s="64" customFormat="1">
      <c r="A92" s="86"/>
      <c r="B92" s="101"/>
      <c r="C92" s="112"/>
      <c r="D92" s="2"/>
      <c r="E92" s="2"/>
      <c r="F92" s="26"/>
      <c r="G92" s="26"/>
      <c r="H92" s="27"/>
      <c r="I92" s="102">
        <v>4</v>
      </c>
      <c r="J92" s="43">
        <f t="shared" si="1"/>
        <v>-1348.95</v>
      </c>
    </row>
    <row r="93" spans="1:10" s="70" customFormat="1">
      <c r="A93" s="87"/>
      <c r="B93" s="75"/>
      <c r="C93" s="76"/>
      <c r="D93" s="68"/>
      <c r="E93" s="68"/>
      <c r="F93" s="26"/>
      <c r="G93" s="26"/>
      <c r="H93" s="27"/>
      <c r="I93" s="77">
        <v>25</v>
      </c>
      <c r="J93" s="43">
        <f t="shared" si="1"/>
        <v>-1373.95</v>
      </c>
    </row>
    <row r="94" spans="1:10">
      <c r="A94" s="87"/>
      <c r="B94" s="75"/>
      <c r="C94" s="76"/>
      <c r="D94" s="68"/>
      <c r="E94" s="68"/>
      <c r="F94" s="26"/>
      <c r="G94" s="26"/>
      <c r="H94" s="27"/>
      <c r="I94" s="77">
        <v>13</v>
      </c>
      <c r="J94" s="43">
        <f t="shared" si="1"/>
        <v>-1386.95</v>
      </c>
    </row>
    <row r="95" spans="1:10">
      <c r="A95" s="87"/>
      <c r="B95" s="75"/>
      <c r="C95" s="76"/>
      <c r="D95" s="68"/>
      <c r="E95" s="68"/>
      <c r="F95" s="26"/>
      <c r="G95" s="26"/>
      <c r="H95" s="27"/>
      <c r="I95" s="77">
        <v>16</v>
      </c>
      <c r="J95" s="43">
        <f t="shared" si="1"/>
        <v>-1402.95</v>
      </c>
    </row>
    <row r="96" spans="1:10" s="64" customFormat="1">
      <c r="A96" s="86"/>
      <c r="B96" s="101"/>
      <c r="C96" s="112"/>
      <c r="D96" s="2"/>
      <c r="E96" s="2"/>
      <c r="F96" s="26"/>
      <c r="G96" s="26"/>
      <c r="H96" s="27"/>
      <c r="I96" s="102">
        <v>4</v>
      </c>
      <c r="J96" s="43">
        <f t="shared" si="1"/>
        <v>-1406.95</v>
      </c>
    </row>
    <row r="97" spans="1:11">
      <c r="A97" s="87"/>
      <c r="B97" s="75"/>
      <c r="C97" s="76"/>
      <c r="D97" s="68"/>
      <c r="E97" s="68"/>
      <c r="F97" s="26"/>
      <c r="G97" s="26"/>
      <c r="H97" s="27"/>
      <c r="I97" s="77">
        <v>50</v>
      </c>
      <c r="J97" s="43">
        <f t="shared" si="1"/>
        <v>-1456.95</v>
      </c>
    </row>
    <row r="98" spans="1:11">
      <c r="A98" s="87"/>
      <c r="B98" s="75"/>
      <c r="C98" s="76"/>
      <c r="D98" s="68"/>
      <c r="E98" s="68"/>
      <c r="F98" s="26"/>
      <c r="G98" s="26"/>
      <c r="H98" s="27"/>
      <c r="I98" s="77">
        <v>15</v>
      </c>
      <c r="J98" s="43">
        <f t="shared" si="1"/>
        <v>-1471.95</v>
      </c>
    </row>
    <row r="99" spans="1:11">
      <c r="A99" s="87"/>
      <c r="B99" s="75"/>
      <c r="C99" s="76"/>
      <c r="D99" s="68"/>
      <c r="E99" s="68"/>
      <c r="F99" s="26"/>
      <c r="G99" s="26"/>
      <c r="H99" s="27"/>
      <c r="I99" s="77">
        <v>10</v>
      </c>
      <c r="J99" s="43">
        <f t="shared" si="1"/>
        <v>-1481.95</v>
      </c>
    </row>
    <row r="100" spans="1:11">
      <c r="A100" s="87"/>
      <c r="B100" s="75"/>
      <c r="C100" s="76"/>
      <c r="D100" s="68"/>
      <c r="E100" s="68"/>
      <c r="F100" s="26"/>
      <c r="G100" s="26"/>
      <c r="H100" s="27"/>
      <c r="I100" s="77">
        <v>10</v>
      </c>
      <c r="J100" s="43">
        <f t="shared" si="1"/>
        <v>-1491.95</v>
      </c>
    </row>
    <row r="101" spans="1:11">
      <c r="A101" s="87"/>
      <c r="B101" s="75"/>
      <c r="C101" s="76"/>
      <c r="D101" s="68"/>
      <c r="E101" s="68"/>
      <c r="F101" s="26"/>
      <c r="G101" s="26"/>
      <c r="H101" s="27"/>
      <c r="I101" s="77">
        <v>15</v>
      </c>
      <c r="J101" s="43">
        <f t="shared" si="1"/>
        <v>-1506.95</v>
      </c>
    </row>
    <row r="102" spans="1:11">
      <c r="A102" s="87"/>
      <c r="B102" s="75"/>
      <c r="C102" s="76"/>
      <c r="D102" s="68"/>
      <c r="E102" s="68"/>
      <c r="F102" s="26"/>
      <c r="G102" s="26"/>
      <c r="H102" s="27"/>
      <c r="I102" s="77">
        <v>15</v>
      </c>
      <c r="J102" s="43">
        <f t="shared" si="1"/>
        <v>-1521.95</v>
      </c>
    </row>
    <row r="103" spans="1:11">
      <c r="A103" s="87"/>
      <c r="B103" s="75"/>
      <c r="C103" s="76"/>
      <c r="D103" s="68"/>
      <c r="E103" s="68"/>
      <c r="F103" s="26"/>
      <c r="G103" s="26"/>
      <c r="H103" s="27"/>
      <c r="I103" s="77">
        <v>15</v>
      </c>
      <c r="J103" s="43">
        <f t="shared" si="1"/>
        <v>-1536.95</v>
      </c>
    </row>
    <row r="104" spans="1:11">
      <c r="A104" s="87"/>
      <c r="B104" s="75"/>
      <c r="C104" s="76"/>
      <c r="D104" s="68"/>
      <c r="E104" s="68"/>
      <c r="F104" s="26"/>
      <c r="G104" s="26"/>
      <c r="H104" s="27"/>
      <c r="I104" s="77">
        <v>15</v>
      </c>
      <c r="J104" s="43">
        <f t="shared" si="1"/>
        <v>-1551.95</v>
      </c>
    </row>
    <row r="105" spans="1:11">
      <c r="A105" s="87"/>
      <c r="B105" s="75"/>
      <c r="C105" s="76"/>
      <c r="D105" s="68"/>
      <c r="E105" s="68"/>
      <c r="F105" s="26"/>
      <c r="G105" s="26"/>
      <c r="H105" s="27"/>
      <c r="I105" s="77">
        <v>35</v>
      </c>
      <c r="J105" s="43">
        <f t="shared" si="1"/>
        <v>-1586.95</v>
      </c>
    </row>
    <row r="106" spans="1:11">
      <c r="A106" s="87"/>
      <c r="B106" s="75"/>
      <c r="C106" s="76"/>
      <c r="D106" s="68"/>
      <c r="E106" s="68"/>
      <c r="F106" s="26"/>
      <c r="G106" s="26"/>
      <c r="H106" s="27"/>
      <c r="I106" s="77">
        <v>18.5</v>
      </c>
      <c r="J106" s="43">
        <f t="shared" si="1"/>
        <v>-1605.45</v>
      </c>
    </row>
    <row r="107" spans="1:11">
      <c r="A107" s="87"/>
      <c r="B107" s="75"/>
      <c r="C107" s="76"/>
      <c r="D107" s="68"/>
      <c r="E107" s="68"/>
      <c r="F107" s="26"/>
      <c r="G107" s="26"/>
      <c r="H107" s="27"/>
      <c r="I107" s="77">
        <v>11</v>
      </c>
      <c r="J107" s="43">
        <f t="shared" si="1"/>
        <v>-1616.45</v>
      </c>
    </row>
    <row r="108" spans="1:11">
      <c r="A108" s="87"/>
      <c r="B108" s="75"/>
      <c r="C108" s="76"/>
      <c r="D108" s="68"/>
      <c r="E108" s="68"/>
      <c r="F108" s="26"/>
      <c r="G108" s="26"/>
      <c r="H108" s="27"/>
      <c r="I108" s="77">
        <v>5</v>
      </c>
      <c r="J108" s="43">
        <f t="shared" si="1"/>
        <v>-1621.45</v>
      </c>
    </row>
    <row r="109" spans="1:11">
      <c r="A109" s="87"/>
      <c r="B109" s="75"/>
      <c r="C109" s="76"/>
      <c r="D109" s="68"/>
      <c r="E109" s="68"/>
      <c r="F109" s="26"/>
      <c r="G109" s="26"/>
      <c r="H109" s="27"/>
      <c r="I109" s="77">
        <v>10</v>
      </c>
      <c r="J109" s="43">
        <f t="shared" si="1"/>
        <v>-1631.45</v>
      </c>
    </row>
    <row r="110" spans="1:11">
      <c r="A110" s="87"/>
      <c r="B110" s="75"/>
      <c r="C110" s="76"/>
      <c r="D110" s="68"/>
      <c r="E110" s="68"/>
      <c r="F110" s="26"/>
      <c r="G110" s="26"/>
      <c r="H110" s="27"/>
      <c r="I110" s="77">
        <v>15</v>
      </c>
      <c r="J110" s="43">
        <f t="shared" si="1"/>
        <v>-1646.45</v>
      </c>
    </row>
    <row r="111" spans="1:11">
      <c r="A111" s="87"/>
      <c r="B111" s="75"/>
      <c r="C111" s="76"/>
      <c r="D111" s="68"/>
      <c r="E111" s="68"/>
      <c r="F111" s="26"/>
      <c r="G111" s="26"/>
      <c r="H111" s="27"/>
      <c r="I111" s="77">
        <v>6.5</v>
      </c>
      <c r="J111" s="43">
        <f>J110-I111</f>
        <v>-1652.95</v>
      </c>
    </row>
    <row r="112" spans="1:11" ht="14.25">
      <c r="A112" s="86"/>
      <c r="B112" s="75"/>
      <c r="C112" s="54"/>
      <c r="D112" s="96"/>
      <c r="E112" s="25"/>
      <c r="F112" s="26"/>
      <c r="G112" s="26"/>
      <c r="H112" s="27"/>
      <c r="I112" s="27"/>
      <c r="J112" s="43">
        <f>H112+1523.35</f>
        <v>1523.35</v>
      </c>
      <c r="K112" s="80"/>
    </row>
    <row r="113" spans="1:10">
      <c r="A113" s="87"/>
      <c r="B113" s="75"/>
      <c r="C113" s="76"/>
      <c r="D113" s="68"/>
      <c r="E113" s="68"/>
      <c r="F113" s="26"/>
      <c r="G113" s="26"/>
      <c r="H113" s="27"/>
      <c r="I113" s="77">
        <v>12</v>
      </c>
      <c r="J113" s="43">
        <f t="shared" si="1"/>
        <v>1511.35</v>
      </c>
    </row>
    <row r="114" spans="1:10">
      <c r="A114" s="87"/>
      <c r="B114" s="75"/>
      <c r="C114" s="76"/>
      <c r="D114" s="68"/>
      <c r="E114" s="68"/>
      <c r="F114" s="26"/>
      <c r="G114" s="26"/>
      <c r="H114" s="27"/>
      <c r="I114" s="77">
        <v>4</v>
      </c>
      <c r="J114" s="43">
        <f t="shared" si="1"/>
        <v>1507.35</v>
      </c>
    </row>
    <row r="115" spans="1:10">
      <c r="A115" s="87"/>
      <c r="B115" s="75"/>
      <c r="C115" s="76"/>
      <c r="D115" s="68"/>
      <c r="E115" s="68"/>
      <c r="F115" s="26"/>
      <c r="G115" s="26"/>
      <c r="H115" s="27"/>
      <c r="I115" s="77">
        <v>25</v>
      </c>
      <c r="J115" s="43">
        <f t="shared" si="1"/>
        <v>1482.35</v>
      </c>
    </row>
    <row r="116" spans="1:10">
      <c r="A116" s="87"/>
      <c r="B116" s="75"/>
      <c r="C116" s="76"/>
      <c r="D116" s="68"/>
      <c r="E116" s="68"/>
      <c r="F116" s="26"/>
      <c r="G116" s="26"/>
      <c r="H116" s="27"/>
      <c r="I116" s="77">
        <v>22</v>
      </c>
      <c r="J116" s="43">
        <f t="shared" si="1"/>
        <v>1460.35</v>
      </c>
    </row>
    <row r="117" spans="1:10">
      <c r="A117" s="87"/>
      <c r="B117" s="75"/>
      <c r="C117" s="76"/>
      <c r="D117" s="68"/>
      <c r="E117" s="68"/>
      <c r="F117" s="26"/>
      <c r="G117" s="26"/>
      <c r="H117" s="27"/>
      <c r="I117" s="77">
        <v>10</v>
      </c>
      <c r="J117" s="43">
        <f t="shared" si="1"/>
        <v>1450.35</v>
      </c>
    </row>
    <row r="118" spans="1:10">
      <c r="A118" s="87"/>
      <c r="B118" s="75"/>
      <c r="C118" s="76"/>
      <c r="D118" s="68"/>
      <c r="E118" s="68"/>
      <c r="F118" s="26"/>
      <c r="G118" s="26"/>
      <c r="H118" s="27"/>
      <c r="I118" s="77">
        <v>4</v>
      </c>
      <c r="J118" s="43">
        <f t="shared" si="1"/>
        <v>1446.35</v>
      </c>
    </row>
    <row r="119" spans="1:10">
      <c r="A119" s="87"/>
      <c r="B119" s="75"/>
      <c r="C119" s="76"/>
      <c r="D119" s="68"/>
      <c r="E119" s="68"/>
      <c r="F119" s="26"/>
      <c r="G119" s="26"/>
      <c r="H119" s="27"/>
      <c r="I119" s="77">
        <v>49</v>
      </c>
      <c r="J119" s="43">
        <f t="shared" si="1"/>
        <v>1397.35</v>
      </c>
    </row>
    <row r="120" spans="1:10">
      <c r="A120" s="87"/>
      <c r="B120" s="75"/>
      <c r="C120" s="76"/>
      <c r="D120" s="68"/>
      <c r="E120" s="68"/>
      <c r="F120" s="26"/>
      <c r="G120" s="26"/>
      <c r="H120" s="27"/>
      <c r="I120" s="77">
        <v>10</v>
      </c>
      <c r="J120" s="43">
        <f t="shared" si="1"/>
        <v>1387.35</v>
      </c>
    </row>
    <row r="121" spans="1:10">
      <c r="A121" s="87"/>
      <c r="B121" s="75"/>
      <c r="C121" s="76"/>
      <c r="D121" s="68"/>
      <c r="E121" s="68"/>
      <c r="F121" s="26"/>
      <c r="G121" s="26"/>
      <c r="H121" s="27"/>
      <c r="I121" s="77">
        <v>25</v>
      </c>
      <c r="J121" s="43">
        <f t="shared" si="1"/>
        <v>1362.35</v>
      </c>
    </row>
    <row r="122" spans="1:10">
      <c r="A122" s="87"/>
      <c r="B122" s="75"/>
      <c r="C122" s="76"/>
      <c r="D122" s="68"/>
      <c r="E122" s="68"/>
      <c r="F122" s="26"/>
      <c r="G122" s="26"/>
      <c r="H122" s="27"/>
      <c r="I122" s="77">
        <v>10</v>
      </c>
      <c r="J122" s="43">
        <f t="shared" si="1"/>
        <v>1352.35</v>
      </c>
    </row>
    <row r="123" spans="1:10">
      <c r="A123" s="87"/>
      <c r="B123" s="75"/>
      <c r="C123" s="76"/>
      <c r="D123" s="68"/>
      <c r="E123" s="68"/>
      <c r="F123" s="26"/>
      <c r="G123" s="26"/>
      <c r="H123" s="27"/>
      <c r="I123" s="77">
        <v>25</v>
      </c>
      <c r="J123" s="43">
        <f t="shared" si="1"/>
        <v>1327.35</v>
      </c>
    </row>
    <row r="124" spans="1:10">
      <c r="A124" s="87"/>
      <c r="B124" s="75"/>
      <c r="C124" s="76"/>
      <c r="D124" s="68"/>
      <c r="E124" s="68"/>
      <c r="F124" s="26"/>
      <c r="G124" s="26"/>
      <c r="H124" s="27"/>
      <c r="I124" s="77">
        <v>40</v>
      </c>
      <c r="J124" s="43">
        <f t="shared" si="1"/>
        <v>1287.3499999999999</v>
      </c>
    </row>
    <row r="125" spans="1:10">
      <c r="A125" s="87"/>
      <c r="B125" s="75"/>
      <c r="C125" s="76"/>
      <c r="D125" s="68"/>
      <c r="E125" s="68"/>
      <c r="F125" s="26"/>
      <c r="G125" s="26"/>
      <c r="H125" s="27"/>
      <c r="I125" s="77">
        <v>24.75</v>
      </c>
      <c r="J125" s="43">
        <f t="shared" si="1"/>
        <v>1262.5999999999999</v>
      </c>
    </row>
    <row r="126" spans="1:10">
      <c r="A126" s="87"/>
      <c r="B126" s="75"/>
      <c r="C126" s="76"/>
      <c r="D126" s="68"/>
      <c r="E126" s="68"/>
      <c r="F126" s="26"/>
      <c r="G126" s="26"/>
      <c r="H126" s="27"/>
      <c r="I126" s="77">
        <v>20</v>
      </c>
      <c r="J126" s="43">
        <f t="shared" si="1"/>
        <v>1242.5999999999999</v>
      </c>
    </row>
    <row r="127" spans="1:10">
      <c r="A127" s="87"/>
      <c r="B127" s="75"/>
      <c r="C127" s="76"/>
      <c r="D127" s="68"/>
      <c r="E127" s="68"/>
      <c r="F127" s="26"/>
      <c r="G127" s="26"/>
      <c r="H127" s="27"/>
      <c r="I127" s="77">
        <v>10</v>
      </c>
      <c r="J127" s="43">
        <f t="shared" si="1"/>
        <v>1232.5999999999999</v>
      </c>
    </row>
    <row r="128" spans="1:10">
      <c r="A128" s="87"/>
      <c r="B128" s="75"/>
      <c r="C128" s="76"/>
      <c r="D128" s="68"/>
      <c r="E128" s="68"/>
      <c r="F128" s="26"/>
      <c r="G128" s="26"/>
      <c r="H128" s="27"/>
      <c r="I128" s="77">
        <v>4</v>
      </c>
      <c r="J128" s="43">
        <f t="shared" si="1"/>
        <v>1228.5999999999999</v>
      </c>
    </row>
    <row r="129" spans="1:10">
      <c r="A129" s="87"/>
      <c r="B129" s="75"/>
      <c r="C129" s="76"/>
      <c r="D129" s="68"/>
      <c r="E129" s="68"/>
      <c r="F129" s="26"/>
      <c r="G129" s="26"/>
      <c r="H129" s="27"/>
      <c r="I129" s="77">
        <v>17.5</v>
      </c>
      <c r="J129" s="43">
        <f t="shared" si="1"/>
        <v>1211.0999999999999</v>
      </c>
    </row>
    <row r="130" spans="1:10">
      <c r="A130" s="87"/>
      <c r="B130" s="75"/>
      <c r="C130" s="76"/>
      <c r="D130" s="68"/>
      <c r="E130" s="68"/>
      <c r="F130" s="26"/>
      <c r="G130" s="26"/>
      <c r="H130" s="27"/>
      <c r="I130" s="77">
        <v>30</v>
      </c>
      <c r="J130" s="43">
        <f t="shared" si="1"/>
        <v>1181.0999999999999</v>
      </c>
    </row>
    <row r="131" spans="1:10">
      <c r="A131" s="87"/>
      <c r="B131" s="75"/>
      <c r="C131" s="76"/>
      <c r="D131" s="68"/>
      <c r="E131" s="68"/>
      <c r="F131" s="26"/>
      <c r="G131" s="26"/>
      <c r="H131" s="27"/>
      <c r="I131" s="77">
        <v>40</v>
      </c>
      <c r="J131" s="43">
        <f t="shared" si="1"/>
        <v>1141.0999999999999</v>
      </c>
    </row>
    <row r="132" spans="1:10">
      <c r="A132" s="87"/>
      <c r="B132" s="75"/>
      <c r="C132" s="76"/>
      <c r="D132" s="68"/>
      <c r="E132" s="68"/>
      <c r="F132" s="26"/>
      <c r="G132" s="26"/>
      <c r="H132" s="27"/>
      <c r="I132" s="77">
        <v>39</v>
      </c>
      <c r="J132" s="43">
        <f t="shared" si="1"/>
        <v>1102.0999999999999</v>
      </c>
    </row>
    <row r="133" spans="1:10">
      <c r="A133" s="87"/>
      <c r="B133" s="75"/>
      <c r="C133" s="76"/>
      <c r="D133" s="68"/>
      <c r="E133" s="68"/>
      <c r="F133" s="26"/>
      <c r="G133" s="26"/>
      <c r="H133" s="27"/>
      <c r="I133" s="77">
        <v>14</v>
      </c>
      <c r="J133" s="43">
        <f t="shared" si="1"/>
        <v>1088.0999999999999</v>
      </c>
    </row>
    <row r="134" spans="1:10">
      <c r="A134" s="87"/>
      <c r="B134" s="75"/>
      <c r="C134" s="76"/>
      <c r="D134" s="68"/>
      <c r="E134" s="68"/>
      <c r="F134" s="26"/>
      <c r="G134" s="26"/>
      <c r="H134" s="27"/>
      <c r="I134" s="77">
        <v>6</v>
      </c>
      <c r="J134" s="43">
        <f t="shared" si="1"/>
        <v>1082.0999999999999</v>
      </c>
    </row>
    <row r="135" spans="1:10" s="1" customFormat="1">
      <c r="A135" s="86"/>
      <c r="B135" s="122"/>
      <c r="C135" s="86"/>
      <c r="D135" s="2"/>
      <c r="E135" s="25"/>
      <c r="F135" s="26"/>
      <c r="G135" s="26"/>
      <c r="H135" s="27"/>
      <c r="I135" s="102">
        <v>5</v>
      </c>
      <c r="J135" s="43">
        <f t="shared" si="1"/>
        <v>1077.0999999999999</v>
      </c>
    </row>
    <row r="136" spans="1:10" s="1" customFormat="1">
      <c r="A136" s="86"/>
      <c r="B136" s="122"/>
      <c r="C136" s="86"/>
      <c r="D136" s="2"/>
      <c r="E136" s="25"/>
      <c r="F136" s="26"/>
      <c r="G136" s="26"/>
      <c r="H136" s="27"/>
      <c r="I136" s="102">
        <v>8</v>
      </c>
      <c r="J136" s="43">
        <f t="shared" si="1"/>
        <v>1069.0999999999999</v>
      </c>
    </row>
    <row r="137" spans="1:10" s="1" customFormat="1">
      <c r="A137" s="86"/>
      <c r="B137" s="122"/>
      <c r="C137" s="86"/>
      <c r="D137" s="2"/>
      <c r="E137" s="25"/>
      <c r="F137" s="26"/>
      <c r="G137" s="26"/>
      <c r="H137" s="27"/>
      <c r="I137" s="102">
        <v>28</v>
      </c>
      <c r="J137" s="43">
        <f t="shared" si="1"/>
        <v>1041.0999999999999</v>
      </c>
    </row>
    <row r="138" spans="1:10" s="1" customFormat="1">
      <c r="A138" s="86"/>
      <c r="B138" s="122"/>
      <c r="C138" s="86"/>
      <c r="D138" s="2"/>
      <c r="E138" s="25"/>
      <c r="F138" s="26"/>
      <c r="G138" s="26"/>
      <c r="H138" s="27"/>
      <c r="I138" s="102">
        <v>16</v>
      </c>
      <c r="J138" s="43">
        <f t="shared" si="1"/>
        <v>1025.0999999999999</v>
      </c>
    </row>
    <row r="139" spans="1:10" s="1" customFormat="1">
      <c r="A139" s="86"/>
      <c r="B139" s="122"/>
      <c r="C139" s="86"/>
      <c r="D139" s="2"/>
      <c r="E139" s="25"/>
      <c r="F139" s="26"/>
      <c r="G139" s="26"/>
      <c r="H139" s="27"/>
      <c r="I139" s="102">
        <v>6</v>
      </c>
      <c r="J139" s="43">
        <f t="shared" si="1"/>
        <v>1019.0999999999999</v>
      </c>
    </row>
    <row r="140" spans="1:10" s="1" customFormat="1" ht="16.5">
      <c r="A140" s="86"/>
      <c r="B140" s="122"/>
      <c r="C140" s="86"/>
      <c r="D140" s="125"/>
      <c r="E140" s="125"/>
      <c r="F140" s="26"/>
      <c r="G140" s="26"/>
      <c r="H140" s="27"/>
      <c r="I140" s="102">
        <v>13</v>
      </c>
      <c r="J140" s="43">
        <f t="shared" si="1"/>
        <v>1006.0999999999999</v>
      </c>
    </row>
    <row r="141" spans="1:10" s="1" customFormat="1">
      <c r="A141" s="86"/>
      <c r="B141" s="122"/>
      <c r="C141" s="86"/>
      <c r="D141" s="2"/>
      <c r="E141" s="25"/>
      <c r="F141" s="26"/>
      <c r="G141" s="26"/>
      <c r="H141" s="27"/>
      <c r="I141" s="102">
        <v>46</v>
      </c>
      <c r="J141" s="43">
        <f t="shared" si="1"/>
        <v>960.09999999999991</v>
      </c>
    </row>
    <row r="142" spans="1:10" s="1" customFormat="1">
      <c r="A142" s="86"/>
      <c r="B142" s="122"/>
      <c r="C142" s="86"/>
      <c r="D142" s="2"/>
      <c r="E142" s="25"/>
      <c r="F142" s="26"/>
      <c r="G142" s="26"/>
      <c r="H142" s="27"/>
      <c r="I142" s="102">
        <v>14</v>
      </c>
      <c r="J142" s="43">
        <f t="shared" si="1"/>
        <v>946.09999999999991</v>
      </c>
    </row>
    <row r="143" spans="1:10" s="1" customFormat="1" ht="16.5">
      <c r="A143" s="86"/>
      <c r="B143" s="122"/>
      <c r="C143" s="54"/>
      <c r="D143" s="125"/>
      <c r="E143" s="125"/>
      <c r="F143" s="26"/>
      <c r="G143" s="26"/>
      <c r="H143" s="27"/>
      <c r="I143" s="27">
        <v>35</v>
      </c>
      <c r="J143" s="43">
        <f t="shared" si="1"/>
        <v>911.09999999999991</v>
      </c>
    </row>
    <row r="144" spans="1:10" s="1" customFormat="1" ht="16.5">
      <c r="A144" s="86"/>
      <c r="B144" s="122"/>
      <c r="C144" s="54"/>
      <c r="D144" s="125"/>
      <c r="E144" s="125"/>
      <c r="F144" s="26"/>
      <c r="G144" s="26"/>
      <c r="H144" s="27"/>
      <c r="I144" s="27">
        <v>30</v>
      </c>
      <c r="J144" s="43">
        <f t="shared" si="1"/>
        <v>881.09999999999991</v>
      </c>
    </row>
    <row r="145" spans="1:10" s="64" customFormat="1">
      <c r="A145" s="121"/>
      <c r="B145" s="122"/>
      <c r="C145" s="123"/>
      <c r="D145" s="123"/>
      <c r="E145" s="123"/>
      <c r="F145" s="26"/>
      <c r="G145" s="26"/>
      <c r="H145" s="27"/>
      <c r="I145" s="27">
        <v>8</v>
      </c>
      <c r="J145" s="43">
        <f t="shared" si="1"/>
        <v>873.09999999999991</v>
      </c>
    </row>
    <row r="146" spans="1:10" s="64" customFormat="1">
      <c r="A146" s="121"/>
      <c r="B146" s="122"/>
      <c r="C146" s="124"/>
      <c r="D146" s="2"/>
      <c r="E146" s="123"/>
      <c r="F146" s="26"/>
      <c r="G146" s="26"/>
      <c r="H146" s="27"/>
      <c r="I146" s="27">
        <v>26</v>
      </c>
      <c r="J146" s="43">
        <f t="shared" si="1"/>
        <v>847.09999999999991</v>
      </c>
    </row>
    <row r="147" spans="1:10" s="64" customFormat="1">
      <c r="A147" s="121"/>
      <c r="B147" s="122"/>
      <c r="C147" s="124"/>
      <c r="D147" s="2"/>
      <c r="E147" s="123"/>
      <c r="F147" s="26"/>
      <c r="G147" s="26"/>
      <c r="H147" s="27"/>
      <c r="I147" s="27">
        <v>13</v>
      </c>
      <c r="J147" s="43">
        <f t="shared" si="1"/>
        <v>834.09999999999991</v>
      </c>
    </row>
    <row r="148" spans="1:10" s="64" customFormat="1" ht="16.5">
      <c r="A148" s="121"/>
      <c r="B148" s="122"/>
      <c r="C148" s="124"/>
      <c r="D148" s="2"/>
      <c r="E148" s="113"/>
      <c r="F148" s="26"/>
      <c r="G148" s="26"/>
      <c r="H148" s="27"/>
      <c r="I148" s="27">
        <v>10</v>
      </c>
      <c r="J148" s="43">
        <f t="shared" si="1"/>
        <v>824.09999999999991</v>
      </c>
    </row>
    <row r="149" spans="1:10" s="64" customFormat="1">
      <c r="A149" s="121"/>
      <c r="B149" s="122"/>
      <c r="C149" s="123"/>
      <c r="D149" s="123"/>
      <c r="E149" s="123"/>
      <c r="F149" s="26"/>
      <c r="G149" s="26"/>
      <c r="H149" s="27"/>
      <c r="I149" s="27">
        <v>24</v>
      </c>
      <c r="J149" s="43">
        <f t="shared" si="1"/>
        <v>800.09999999999991</v>
      </c>
    </row>
    <row r="150" spans="1:10">
      <c r="A150" s="87"/>
      <c r="B150" s="103"/>
      <c r="C150" s="65"/>
      <c r="D150" s="65"/>
      <c r="E150" s="68"/>
      <c r="F150" s="26"/>
      <c r="G150" s="26"/>
      <c r="H150" s="27"/>
      <c r="I150" s="27">
        <v>3</v>
      </c>
      <c r="J150" s="43">
        <f t="shared" si="1"/>
        <v>797.09999999999991</v>
      </c>
    </row>
    <row r="151" spans="1:10">
      <c r="A151" s="87"/>
      <c r="B151" s="103"/>
      <c r="C151" s="65"/>
      <c r="D151" s="65"/>
      <c r="E151" s="65"/>
      <c r="F151" s="26"/>
      <c r="G151" s="26"/>
      <c r="H151" s="27"/>
      <c r="I151" s="27">
        <v>12</v>
      </c>
      <c r="J151" s="43">
        <f t="shared" si="1"/>
        <v>785.09999999999991</v>
      </c>
    </row>
    <row r="152" spans="1:10">
      <c r="A152" s="87"/>
      <c r="B152" s="103"/>
      <c r="C152" s="65"/>
      <c r="D152" s="65"/>
      <c r="E152" s="65"/>
      <c r="F152" s="26"/>
      <c r="G152" s="26"/>
      <c r="H152" s="27"/>
      <c r="I152" s="27">
        <v>3</v>
      </c>
      <c r="J152" s="43">
        <f t="shared" si="1"/>
        <v>782.09999999999991</v>
      </c>
    </row>
    <row r="153" spans="1:10">
      <c r="A153" s="87"/>
      <c r="B153" s="103"/>
      <c r="C153" s="120"/>
      <c r="D153" s="68"/>
      <c r="E153" s="65"/>
      <c r="F153" s="26"/>
      <c r="G153" s="26"/>
      <c r="H153" s="27"/>
      <c r="I153" s="27">
        <v>26.5</v>
      </c>
      <c r="J153" s="43">
        <f t="shared" si="1"/>
        <v>755.59999999999991</v>
      </c>
    </row>
    <row r="154" spans="1:10">
      <c r="A154" s="87"/>
      <c r="B154" s="103"/>
      <c r="C154" s="65"/>
      <c r="D154" s="65"/>
      <c r="E154" s="65"/>
      <c r="F154" s="26"/>
      <c r="G154" s="26"/>
      <c r="H154" s="27"/>
      <c r="I154" s="27">
        <v>2</v>
      </c>
      <c r="J154" s="43">
        <f t="shared" si="1"/>
        <v>753.59999999999991</v>
      </c>
    </row>
    <row r="155" spans="1:10">
      <c r="A155" s="87"/>
      <c r="B155" s="103"/>
      <c r="C155" s="65"/>
      <c r="D155" s="65"/>
      <c r="E155" s="65"/>
      <c r="F155" s="26"/>
      <c r="G155" s="26"/>
      <c r="H155" s="27"/>
      <c r="I155" s="27">
        <v>30</v>
      </c>
      <c r="J155" s="43">
        <f t="shared" si="1"/>
        <v>723.59999999999991</v>
      </c>
    </row>
    <row r="156" spans="1:10">
      <c r="A156" s="87"/>
      <c r="B156" s="103"/>
      <c r="C156" s="120"/>
      <c r="D156" s="68"/>
      <c r="E156" s="65"/>
      <c r="F156" s="26"/>
      <c r="G156" s="26"/>
      <c r="H156" s="27"/>
      <c r="I156" s="27">
        <v>6</v>
      </c>
      <c r="J156" s="43">
        <f t="shared" si="1"/>
        <v>717.59999999999991</v>
      </c>
    </row>
    <row r="157" spans="1:10">
      <c r="A157" s="87"/>
      <c r="B157" s="103"/>
      <c r="C157" s="120"/>
      <c r="D157" s="68"/>
      <c r="E157" s="65"/>
      <c r="F157" s="26"/>
      <c r="G157" s="26"/>
      <c r="H157" s="27"/>
      <c r="I157" s="27">
        <v>10</v>
      </c>
      <c r="J157" s="43">
        <f t="shared" si="1"/>
        <v>707.59999999999991</v>
      </c>
    </row>
    <row r="158" spans="1:10">
      <c r="A158" s="87"/>
      <c r="B158" s="103"/>
      <c r="C158" s="120"/>
      <c r="D158" s="68"/>
      <c r="E158" s="65"/>
      <c r="F158" s="26"/>
      <c r="G158" s="26"/>
      <c r="H158" s="27"/>
      <c r="I158" s="27">
        <v>12.35</v>
      </c>
      <c r="J158" s="43">
        <f t="shared" si="1"/>
        <v>695.24999999999989</v>
      </c>
    </row>
    <row r="159" spans="1:10">
      <c r="A159" s="87"/>
      <c r="B159" s="103"/>
      <c r="C159" s="120"/>
      <c r="D159" s="68"/>
      <c r="E159" s="65"/>
      <c r="F159" s="26"/>
      <c r="G159" s="26"/>
      <c r="H159" s="27"/>
      <c r="I159" s="27">
        <v>6.4</v>
      </c>
      <c r="J159" s="43">
        <f t="shared" ref="J159:J163" si="2">J158-I159</f>
        <v>688.84999999999991</v>
      </c>
    </row>
    <row r="160" spans="1:10">
      <c r="A160" s="86"/>
      <c r="B160" s="103"/>
      <c r="C160" s="120"/>
      <c r="D160" s="65"/>
      <c r="E160" s="65"/>
      <c r="F160" s="26"/>
      <c r="G160" s="26"/>
      <c r="H160" s="63"/>
      <c r="I160" s="63">
        <v>5</v>
      </c>
      <c r="J160" s="43">
        <f t="shared" si="2"/>
        <v>683.84999999999991</v>
      </c>
    </row>
    <row r="161" spans="1:15">
      <c r="A161" s="86"/>
      <c r="B161" s="103"/>
      <c r="C161" s="120"/>
      <c r="D161" s="68"/>
      <c r="E161" s="65"/>
      <c r="F161" s="26"/>
      <c r="G161" s="26"/>
      <c r="H161" s="13"/>
      <c r="I161" s="13">
        <v>5</v>
      </c>
      <c r="J161" s="43">
        <f t="shared" si="2"/>
        <v>678.84999999999991</v>
      </c>
    </row>
    <row r="162" spans="1:15">
      <c r="A162" s="111"/>
      <c r="B162" s="103"/>
      <c r="C162" s="65"/>
      <c r="D162" s="65"/>
      <c r="E162" s="65"/>
      <c r="F162" s="26"/>
      <c r="G162" s="26"/>
      <c r="H162" s="65"/>
      <c r="I162" s="13">
        <v>15</v>
      </c>
      <c r="J162" s="43">
        <f t="shared" si="2"/>
        <v>663.84999999999991</v>
      </c>
    </row>
    <row r="163" spans="1:15">
      <c r="A163" s="111"/>
      <c r="B163" s="103"/>
      <c r="C163" s="65"/>
      <c r="D163" s="68"/>
      <c r="E163" s="65"/>
      <c r="F163" s="26"/>
      <c r="G163" s="26"/>
      <c r="H163" s="65"/>
      <c r="I163" s="13">
        <v>20</v>
      </c>
      <c r="J163" s="43">
        <f t="shared" si="2"/>
        <v>643.84999999999991</v>
      </c>
    </row>
    <row r="164" spans="1:15">
      <c r="A164" s="111"/>
      <c r="B164" s="120"/>
      <c r="C164" s="65"/>
      <c r="D164" s="65"/>
      <c r="E164" s="65"/>
      <c r="F164" s="26"/>
      <c r="G164" s="26"/>
      <c r="H164" s="65"/>
      <c r="I164" s="13"/>
      <c r="J164" s="43">
        <f t="shared" ref="J164:J167" si="3">J163</f>
        <v>643.84999999999991</v>
      </c>
    </row>
    <row r="165" spans="1:15">
      <c r="A165" s="111"/>
      <c r="B165" s="120"/>
      <c r="C165" s="65"/>
      <c r="D165" s="65"/>
      <c r="E165" s="65"/>
      <c r="F165" s="65"/>
      <c r="G165" s="26"/>
      <c r="H165" s="65"/>
      <c r="I165" s="13"/>
      <c r="J165" s="43">
        <f t="shared" si="3"/>
        <v>643.84999999999991</v>
      </c>
    </row>
    <row r="166" spans="1:15">
      <c r="A166" s="111"/>
      <c r="B166" s="120"/>
      <c r="C166" s="65"/>
      <c r="D166" s="65"/>
      <c r="F166" s="65"/>
      <c r="G166" s="26"/>
      <c r="H166" s="65"/>
      <c r="I166" s="13"/>
      <c r="J166" s="43">
        <f t="shared" si="3"/>
        <v>643.84999999999991</v>
      </c>
    </row>
    <row r="167" spans="1:15">
      <c r="A167" s="111"/>
      <c r="B167" s="120"/>
      <c r="C167" s="65"/>
      <c r="D167" s="65"/>
      <c r="E167" s="65"/>
      <c r="F167" s="65"/>
      <c r="G167" s="26"/>
      <c r="H167" s="65"/>
      <c r="I167" s="13"/>
      <c r="J167" s="43">
        <f t="shared" si="3"/>
        <v>643.84999999999991</v>
      </c>
      <c r="N167" s="13"/>
    </row>
    <row r="168" spans="1:15" ht="13.5">
      <c r="A168" s="111"/>
      <c r="B168" s="120"/>
      <c r="C168" s="120"/>
      <c r="D168" s="8"/>
      <c r="E168" s="9"/>
      <c r="F168" s="9"/>
      <c r="G168" s="9"/>
      <c r="H168" s="63"/>
      <c r="I168" s="13">
        <f>SUM(I8:I167)</f>
        <v>2636.1499999999996</v>
      </c>
      <c r="J168" s="43">
        <f>J167</f>
        <v>643.84999999999991</v>
      </c>
    </row>
    <row r="169" spans="1:15" ht="13.5">
      <c r="C169" s="116"/>
      <c r="D169" s="117"/>
      <c r="E169" s="118"/>
      <c r="F169" s="118"/>
      <c r="G169" s="118"/>
      <c r="H169" s="119"/>
      <c r="I169" s="114"/>
      <c r="J169" s="115"/>
      <c r="N169">
        <v>2479.9</v>
      </c>
      <c r="O169" s="80">
        <f>N169+J168</f>
        <v>3123.75</v>
      </c>
    </row>
    <row r="170" spans="1:15" ht="13.5">
      <c r="C170" s="8"/>
      <c r="D170" s="8"/>
      <c r="E170" s="11"/>
      <c r="F170" s="11"/>
      <c r="G170" s="12"/>
      <c r="H170" s="12"/>
    </row>
    <row r="171" spans="1:15" ht="13.5">
      <c r="C171" s="8"/>
      <c r="D171" s="8"/>
      <c r="E171" s="11"/>
      <c r="F171" s="11"/>
      <c r="G171" s="12"/>
      <c r="H171" s="12"/>
    </row>
    <row r="172" spans="1:15" ht="13.5">
      <c r="C172" s="8"/>
      <c r="D172" s="8"/>
      <c r="E172" s="11"/>
      <c r="F172" s="11"/>
      <c r="G172" s="12"/>
      <c r="H172" s="12"/>
    </row>
    <row r="173" spans="1:15">
      <c r="C173" s="65"/>
      <c r="D173" s="65"/>
      <c r="E173" s="65"/>
      <c r="F173" s="65"/>
      <c r="G173" s="65"/>
      <c r="H173" s="65"/>
    </row>
    <row r="174" spans="1:15">
      <c r="C174" s="65"/>
      <c r="D174" s="65"/>
      <c r="E174" s="65"/>
      <c r="F174" s="65"/>
      <c r="G174" s="65"/>
      <c r="H174" s="65"/>
    </row>
    <row r="176" spans="1:15" ht="13.5">
      <c r="C176" s="11"/>
      <c r="D176" s="8"/>
      <c r="E176" s="9"/>
      <c r="F176" s="9"/>
      <c r="G176" s="9"/>
      <c r="H176" s="10"/>
    </row>
    <row r="177" spans="3:8" ht="13.5">
      <c r="C177" s="11"/>
      <c r="D177" s="8"/>
      <c r="E177" s="9"/>
      <c r="F177" s="9"/>
      <c r="G177" s="9"/>
      <c r="H177" s="10"/>
    </row>
    <row r="178" spans="3:8" ht="13.5">
      <c r="C178" s="8"/>
      <c r="D178" s="8"/>
      <c r="E178" s="11"/>
      <c r="F178" s="11"/>
      <c r="G178" s="12"/>
      <c r="H178" s="12"/>
    </row>
    <row r="179" spans="3:8" ht="13.5">
      <c r="C179" s="8"/>
      <c r="D179" s="8"/>
      <c r="E179" s="11"/>
      <c r="F179" s="11"/>
      <c r="G179" s="12"/>
      <c r="H179" s="12"/>
    </row>
    <row r="180" spans="3:8" ht="27">
      <c r="C180" s="8" t="s">
        <v>11</v>
      </c>
      <c r="D180" s="8"/>
      <c r="E180" s="11"/>
      <c r="F180" s="11"/>
      <c r="G180" s="12"/>
      <c r="H180" s="12"/>
    </row>
    <row r="181" spans="3:8">
      <c r="C181" s="65"/>
      <c r="D181" s="65"/>
      <c r="E181" s="65"/>
      <c r="F181" s="65"/>
      <c r="G181" s="65"/>
      <c r="H181" s="65"/>
    </row>
    <row r="182" spans="3:8">
      <c r="C182" s="65"/>
      <c r="D182" s="65"/>
      <c r="E182" s="65"/>
      <c r="F182" s="65"/>
      <c r="G182" s="65"/>
      <c r="H182" s="65"/>
    </row>
  </sheetData>
  <mergeCells count="4">
    <mergeCell ref="B1:D3"/>
    <mergeCell ref="E1:F2"/>
    <mergeCell ref="E3:F3"/>
    <mergeCell ref="E4:F4"/>
  </mergeCells>
  <dataValidations count="2">
    <dataValidation type="list" allowBlank="1" showInputMessage="1" showErrorMessage="1" sqref="G8:G167">
      <formula1>"Bari &amp; karkaar,Sanaag,Nugal,Mudug"</formula1>
    </dataValidation>
    <dataValidation type="list" allowBlank="1" showInputMessage="1" showErrorMessage="1" sqref="F7:F164">
      <formula1>"Tasliix,Transportations,Repair of Vehicles,Repair of Builds,Repair of Generators,Rfreshments,Miscellanceous exp"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opLeftCell="A9" workbookViewId="0">
      <selection activeCell="A44" sqref="A44"/>
    </sheetView>
  </sheetViews>
  <sheetFormatPr defaultColWidth="9.140625" defaultRowHeight="12.75"/>
  <cols>
    <col min="1" max="1" width="6.5703125" style="1" customWidth="1"/>
    <col min="2" max="2" width="11.140625" style="4" customWidth="1"/>
    <col min="3" max="3" width="11" style="4" customWidth="1"/>
    <col min="4" max="4" width="29.5703125" style="1" customWidth="1"/>
    <col min="5" max="5" width="81.42578125" style="1" customWidth="1"/>
    <col min="6" max="6" width="17.28515625" style="5" customWidth="1"/>
    <col min="7" max="7" width="14.85546875" style="5" customWidth="1"/>
    <col min="8" max="8" width="20.28515625" style="6" customWidth="1"/>
    <col min="9" max="9" width="13.42578125" style="6" bestFit="1" customWidth="1"/>
    <col min="10" max="10" width="13.7109375" style="6" customWidth="1"/>
    <col min="11" max="11" width="9.5703125" style="1" customWidth="1"/>
    <col min="12" max="12" width="18.28515625" style="1" customWidth="1"/>
    <col min="13" max="13" width="9.140625" style="1" customWidth="1"/>
    <col min="14" max="16384" width="9.140625" style="1"/>
  </cols>
  <sheetData>
    <row r="1" spans="1:13">
      <c r="A1" s="131"/>
      <c r="B1" s="131"/>
      <c r="C1" s="131"/>
      <c r="D1" s="131"/>
      <c r="E1" s="131"/>
      <c r="F1" s="131"/>
      <c r="G1" s="131"/>
      <c r="H1" s="131"/>
      <c r="I1" s="131"/>
      <c r="J1" s="131"/>
    </row>
    <row r="2" spans="1:13">
      <c r="A2" s="131"/>
      <c r="B2" s="131"/>
      <c r="C2" s="131"/>
      <c r="D2" s="131"/>
      <c r="E2" s="131"/>
      <c r="F2" s="131"/>
      <c r="G2" s="131"/>
      <c r="H2" s="131"/>
      <c r="I2" s="131"/>
      <c r="J2" s="131"/>
    </row>
    <row r="3" spans="1:13">
      <c r="A3" s="131"/>
      <c r="B3" s="131"/>
      <c r="C3" s="131"/>
      <c r="D3" s="131"/>
      <c r="E3" s="131"/>
      <c r="F3" s="131"/>
      <c r="G3" s="131"/>
      <c r="H3" s="131"/>
      <c r="I3" s="131"/>
      <c r="J3" s="131"/>
    </row>
    <row r="4" spans="1:13" ht="28.5" customHeight="1">
      <c r="A4" s="89"/>
      <c r="B4" s="127"/>
      <c r="C4" s="127"/>
      <c r="D4" s="127"/>
      <c r="E4" s="129" t="s">
        <v>31</v>
      </c>
      <c r="F4" s="129"/>
      <c r="G4" s="90"/>
      <c r="H4" s="104"/>
      <c r="I4" s="19" t="s">
        <v>24</v>
      </c>
      <c r="J4" s="105" t="s">
        <v>23</v>
      </c>
    </row>
    <row r="5" spans="1:13" ht="33.75" customHeight="1">
      <c r="A5" s="89"/>
      <c r="B5" s="127"/>
      <c r="C5" s="127"/>
      <c r="D5" s="127"/>
      <c r="E5" s="129"/>
      <c r="F5" s="129"/>
      <c r="G5" s="90"/>
      <c r="H5" s="18"/>
      <c r="I5" s="19" t="s">
        <v>25</v>
      </c>
      <c r="J5" s="106">
        <v>763241</v>
      </c>
    </row>
    <row r="6" spans="1:13" ht="29.25" customHeight="1">
      <c r="A6" s="89"/>
      <c r="B6" s="127"/>
      <c r="C6" s="127"/>
      <c r="D6" s="127"/>
      <c r="E6" s="130" t="s">
        <v>26</v>
      </c>
      <c r="F6" s="130"/>
      <c r="G6" s="91"/>
      <c r="H6" s="21">
        <v>4.9000000000000004</v>
      </c>
      <c r="I6" s="18"/>
      <c r="J6" s="18"/>
    </row>
    <row r="7" spans="1:13" ht="23.25" customHeight="1">
      <c r="A7" s="89"/>
      <c r="B7" s="14" t="s">
        <v>0</v>
      </c>
      <c r="C7" s="14"/>
      <c r="D7" s="23">
        <v>46235</v>
      </c>
      <c r="E7" s="130" t="s">
        <v>3</v>
      </c>
      <c r="F7" s="130"/>
      <c r="G7" s="91"/>
      <c r="H7" s="24">
        <f>J72</f>
        <v>538.5</v>
      </c>
      <c r="I7" s="18" t="s">
        <v>1</v>
      </c>
      <c r="J7" s="18" t="s">
        <v>14</v>
      </c>
    </row>
    <row r="8" spans="1:13" ht="23.25" customHeight="1">
      <c r="A8" s="89"/>
      <c r="B8" s="14"/>
      <c r="C8" s="14"/>
      <c r="D8" s="23"/>
      <c r="E8" s="91"/>
      <c r="F8" s="91"/>
      <c r="G8" s="91"/>
      <c r="H8" s="24"/>
      <c r="I8" s="18"/>
      <c r="J8" s="18"/>
    </row>
    <row r="9" spans="1:13" s="38" customFormat="1" ht="25.5">
      <c r="A9" s="44" t="s">
        <v>22</v>
      </c>
      <c r="B9" s="35" t="s">
        <v>4</v>
      </c>
      <c r="C9" s="44" t="s">
        <v>28</v>
      </c>
      <c r="D9" s="36" t="s">
        <v>13</v>
      </c>
      <c r="E9" s="36" t="s">
        <v>15</v>
      </c>
      <c r="F9" s="39" t="s">
        <v>16</v>
      </c>
      <c r="G9" s="39" t="s">
        <v>27</v>
      </c>
      <c r="H9" s="37" t="s">
        <v>17</v>
      </c>
      <c r="I9" s="37" t="s">
        <v>18</v>
      </c>
      <c r="J9" s="72" t="s">
        <v>2</v>
      </c>
      <c r="L9" s="34"/>
      <c r="M9" s="34"/>
    </row>
    <row r="10" spans="1:13" ht="19.5" customHeight="1">
      <c r="A10" s="107"/>
      <c r="B10" s="35"/>
      <c r="C10" s="44"/>
      <c r="D10" s="36"/>
      <c r="E10" s="36" t="s">
        <v>40</v>
      </c>
      <c r="F10" s="39" t="s">
        <v>20</v>
      </c>
      <c r="G10" s="42"/>
      <c r="H10" s="37">
        <v>995.1</v>
      </c>
      <c r="I10" s="37"/>
      <c r="J10" s="43">
        <f>H10+H6</f>
        <v>1000</v>
      </c>
    </row>
    <row r="11" spans="1:13" ht="19.5" customHeight="1">
      <c r="A11" s="81">
        <v>265</v>
      </c>
      <c r="B11" s="71">
        <v>46243</v>
      </c>
      <c r="C11" s="65">
        <v>667602025</v>
      </c>
      <c r="D11" s="65" t="s">
        <v>222</v>
      </c>
      <c r="E11" s="65" t="s">
        <v>240</v>
      </c>
      <c r="F11" s="42" t="s">
        <v>20</v>
      </c>
      <c r="G11" s="42" t="s">
        <v>39</v>
      </c>
      <c r="H11" s="43">
        <v>0</v>
      </c>
      <c r="I11" s="108">
        <v>38</v>
      </c>
      <c r="J11" s="43">
        <f>J10-I11</f>
        <v>962</v>
      </c>
    </row>
    <row r="12" spans="1:13" ht="19.5" customHeight="1">
      <c r="A12" s="81">
        <v>266</v>
      </c>
      <c r="B12" s="71">
        <v>46243</v>
      </c>
      <c r="C12" s="65">
        <v>667705648</v>
      </c>
      <c r="D12" s="65" t="s">
        <v>226</v>
      </c>
      <c r="E12" s="65" t="s">
        <v>241</v>
      </c>
      <c r="F12" s="42" t="s">
        <v>20</v>
      </c>
      <c r="G12" s="42" t="s">
        <v>39</v>
      </c>
      <c r="H12" s="43"/>
      <c r="I12" s="108">
        <v>2</v>
      </c>
      <c r="J12" s="43">
        <f t="shared" ref="J12:J71" si="0">J11-I12</f>
        <v>960</v>
      </c>
    </row>
    <row r="13" spans="1:13" ht="19.5" customHeight="1">
      <c r="A13" s="81">
        <v>267</v>
      </c>
      <c r="B13" s="71">
        <v>46243</v>
      </c>
      <c r="C13" s="65">
        <v>660000548</v>
      </c>
      <c r="D13" s="65" t="s">
        <v>227</v>
      </c>
      <c r="E13" s="65" t="s">
        <v>242</v>
      </c>
      <c r="F13" s="42" t="s">
        <v>225</v>
      </c>
      <c r="G13" s="42" t="s">
        <v>39</v>
      </c>
      <c r="H13" s="43"/>
      <c r="I13" s="108">
        <v>20</v>
      </c>
      <c r="J13" s="43">
        <f t="shared" si="0"/>
        <v>940</v>
      </c>
    </row>
    <row r="14" spans="1:13" ht="19.5" customHeight="1">
      <c r="A14" s="81">
        <v>268</v>
      </c>
      <c r="B14" s="71">
        <v>46243</v>
      </c>
      <c r="C14" s="65">
        <v>665765861</v>
      </c>
      <c r="D14" s="65" t="s">
        <v>228</v>
      </c>
      <c r="E14" s="65" t="s">
        <v>243</v>
      </c>
      <c r="F14" s="41" t="s">
        <v>21</v>
      </c>
      <c r="G14" s="42" t="s">
        <v>36</v>
      </c>
      <c r="H14" s="43"/>
      <c r="I14" s="108">
        <v>7.5</v>
      </c>
      <c r="J14" s="43">
        <f t="shared" si="0"/>
        <v>932.5</v>
      </c>
    </row>
    <row r="15" spans="1:13" ht="19.5" customHeight="1">
      <c r="A15" s="81">
        <v>269</v>
      </c>
      <c r="B15" s="71">
        <v>46243</v>
      </c>
      <c r="C15" s="65">
        <v>661669926</v>
      </c>
      <c r="D15" s="68" t="s">
        <v>277</v>
      </c>
      <c r="E15" s="68" t="s">
        <v>289</v>
      </c>
      <c r="F15" s="42" t="s">
        <v>33</v>
      </c>
      <c r="G15" s="42" t="s">
        <v>36</v>
      </c>
      <c r="H15" s="43"/>
      <c r="I15" s="108">
        <v>18</v>
      </c>
      <c r="J15" s="43">
        <f t="shared" si="0"/>
        <v>914.5</v>
      </c>
    </row>
    <row r="16" spans="1:13">
      <c r="A16" s="81">
        <v>270</v>
      </c>
      <c r="B16" s="71">
        <v>46243</v>
      </c>
      <c r="C16" s="65">
        <v>667654024</v>
      </c>
      <c r="D16" s="65" t="s">
        <v>229</v>
      </c>
      <c r="E16" s="68" t="s">
        <v>244</v>
      </c>
      <c r="F16" s="42" t="s">
        <v>225</v>
      </c>
      <c r="G16" s="42" t="s">
        <v>38</v>
      </c>
      <c r="H16" s="43"/>
      <c r="I16" s="108">
        <v>5</v>
      </c>
      <c r="J16" s="43">
        <f t="shared" si="0"/>
        <v>909.5</v>
      </c>
      <c r="L16" s="1" t="s">
        <v>19</v>
      </c>
    </row>
    <row r="17" spans="1:12">
      <c r="A17" s="81">
        <v>271</v>
      </c>
      <c r="B17" s="71">
        <v>46243</v>
      </c>
      <c r="C17" s="65">
        <v>667654024</v>
      </c>
      <c r="D17" s="65" t="s">
        <v>229</v>
      </c>
      <c r="E17" s="65" t="s">
        <v>245</v>
      </c>
      <c r="F17" s="42" t="s">
        <v>225</v>
      </c>
      <c r="G17" s="42" t="s">
        <v>38</v>
      </c>
      <c r="H17" s="43"/>
      <c r="I17" s="108">
        <v>6</v>
      </c>
      <c r="J17" s="43">
        <f t="shared" si="0"/>
        <v>903.5</v>
      </c>
    </row>
    <row r="18" spans="1:12">
      <c r="A18" s="81">
        <v>272</v>
      </c>
      <c r="B18" s="71">
        <v>46243</v>
      </c>
      <c r="C18" s="65">
        <v>667638766</v>
      </c>
      <c r="D18" s="68" t="s">
        <v>276</v>
      </c>
      <c r="E18" s="65" t="s">
        <v>246</v>
      </c>
      <c r="F18" s="42" t="s">
        <v>225</v>
      </c>
      <c r="G18" s="42" t="s">
        <v>38</v>
      </c>
      <c r="H18" s="43"/>
      <c r="I18" s="108">
        <v>5</v>
      </c>
      <c r="J18" s="43">
        <f t="shared" si="0"/>
        <v>898.5</v>
      </c>
    </row>
    <row r="19" spans="1:12">
      <c r="A19" s="81">
        <v>272</v>
      </c>
      <c r="B19" s="71">
        <v>46243</v>
      </c>
      <c r="C19" s="65">
        <v>660000502</v>
      </c>
      <c r="D19" s="65" t="s">
        <v>230</v>
      </c>
      <c r="E19" s="65" t="s">
        <v>247</v>
      </c>
      <c r="F19" s="42" t="s">
        <v>225</v>
      </c>
      <c r="G19" s="42" t="s">
        <v>38</v>
      </c>
      <c r="H19" s="43"/>
      <c r="I19" s="108">
        <v>5</v>
      </c>
      <c r="J19" s="43">
        <f t="shared" si="0"/>
        <v>893.5</v>
      </c>
    </row>
    <row r="20" spans="1:12">
      <c r="A20" s="81">
        <v>273</v>
      </c>
      <c r="B20" s="71">
        <v>46243</v>
      </c>
      <c r="C20" s="65">
        <v>667790778</v>
      </c>
      <c r="D20" s="68" t="s">
        <v>275</v>
      </c>
      <c r="E20" s="68" t="s">
        <v>262</v>
      </c>
      <c r="F20" s="42" t="s">
        <v>33</v>
      </c>
      <c r="G20" s="42" t="s">
        <v>38</v>
      </c>
      <c r="H20" s="43"/>
      <c r="I20" s="108">
        <v>8</v>
      </c>
      <c r="J20" s="43">
        <f t="shared" si="0"/>
        <v>885.5</v>
      </c>
    </row>
    <row r="21" spans="1:12" ht="12" customHeight="1">
      <c r="A21" s="81">
        <v>274</v>
      </c>
      <c r="B21" s="71">
        <v>46243</v>
      </c>
      <c r="C21" s="65">
        <v>667441643</v>
      </c>
      <c r="D21" s="65" t="s">
        <v>231</v>
      </c>
      <c r="E21" s="65" t="s">
        <v>248</v>
      </c>
      <c r="F21" s="42" t="s">
        <v>225</v>
      </c>
      <c r="G21" s="42" t="s">
        <v>38</v>
      </c>
      <c r="H21" s="43"/>
      <c r="I21" s="108">
        <v>5</v>
      </c>
      <c r="J21" s="43">
        <f t="shared" si="0"/>
        <v>880.5</v>
      </c>
      <c r="L21" s="1" t="s">
        <v>19</v>
      </c>
    </row>
    <row r="22" spans="1:12">
      <c r="A22" s="81">
        <v>275</v>
      </c>
      <c r="B22" s="71">
        <v>46244</v>
      </c>
      <c r="C22" s="65">
        <v>667724942</v>
      </c>
      <c r="D22" s="65" t="s">
        <v>232</v>
      </c>
      <c r="E22" s="65" t="s">
        <v>249</v>
      </c>
      <c r="F22" s="42" t="s">
        <v>33</v>
      </c>
      <c r="G22" s="42" t="s">
        <v>38</v>
      </c>
      <c r="H22" s="43"/>
      <c r="I22" s="108">
        <v>35</v>
      </c>
      <c r="J22" s="43">
        <f t="shared" si="0"/>
        <v>845.5</v>
      </c>
      <c r="L22" s="1" t="s">
        <v>20</v>
      </c>
    </row>
    <row r="23" spans="1:12">
      <c r="A23" s="81">
        <v>276</v>
      </c>
      <c r="B23" s="71">
        <v>46244</v>
      </c>
      <c r="C23" s="65">
        <v>660000099</v>
      </c>
      <c r="D23" s="65" t="s">
        <v>233</v>
      </c>
      <c r="E23" s="65" t="s">
        <v>250</v>
      </c>
      <c r="F23" s="42" t="s">
        <v>33</v>
      </c>
      <c r="G23" s="42" t="s">
        <v>36</v>
      </c>
      <c r="H23" s="43"/>
      <c r="I23" s="108">
        <v>11</v>
      </c>
      <c r="J23" s="43">
        <f t="shared" si="0"/>
        <v>834.5</v>
      </c>
      <c r="L23" s="1" t="s">
        <v>33</v>
      </c>
    </row>
    <row r="24" spans="1:12">
      <c r="A24" s="81">
        <v>277</v>
      </c>
      <c r="B24" s="71">
        <v>46244</v>
      </c>
      <c r="C24" s="65">
        <v>660000338</v>
      </c>
      <c r="D24" s="65" t="s">
        <v>234</v>
      </c>
      <c r="E24" s="65" t="s">
        <v>251</v>
      </c>
      <c r="F24" s="42" t="s">
        <v>225</v>
      </c>
      <c r="G24" s="42" t="s">
        <v>39</v>
      </c>
      <c r="H24" s="43"/>
      <c r="I24" s="108">
        <v>7.5</v>
      </c>
      <c r="J24" s="43">
        <f t="shared" si="0"/>
        <v>827</v>
      </c>
      <c r="L24" s="1" t="s">
        <v>34</v>
      </c>
    </row>
    <row r="25" spans="1:12">
      <c r="A25" s="81">
        <v>278</v>
      </c>
      <c r="B25" s="71">
        <v>46244</v>
      </c>
      <c r="C25" s="65">
        <v>660000338</v>
      </c>
      <c r="D25" s="65" t="s">
        <v>234</v>
      </c>
      <c r="E25" s="65" t="s">
        <v>252</v>
      </c>
      <c r="F25" s="42" t="s">
        <v>225</v>
      </c>
      <c r="G25" s="42" t="s">
        <v>39</v>
      </c>
      <c r="H25" s="43"/>
      <c r="I25" s="108">
        <v>33</v>
      </c>
      <c r="J25" s="43">
        <f t="shared" si="0"/>
        <v>794</v>
      </c>
      <c r="L25" s="1" t="s">
        <v>35</v>
      </c>
    </row>
    <row r="26" spans="1:12">
      <c r="A26" s="81">
        <v>279</v>
      </c>
      <c r="B26" s="71">
        <v>46244</v>
      </c>
      <c r="C26" s="65">
        <v>661393815</v>
      </c>
      <c r="D26" s="68" t="s">
        <v>274</v>
      </c>
      <c r="E26" s="65" t="s">
        <v>253</v>
      </c>
      <c r="F26" s="42" t="s">
        <v>225</v>
      </c>
      <c r="G26" s="42" t="s">
        <v>39</v>
      </c>
      <c r="H26" s="43"/>
      <c r="I26" s="108">
        <v>9</v>
      </c>
      <c r="J26" s="43">
        <f t="shared" si="0"/>
        <v>785</v>
      </c>
      <c r="L26" s="1" t="s">
        <v>21</v>
      </c>
    </row>
    <row r="27" spans="1:12">
      <c r="A27" s="81">
        <v>280</v>
      </c>
      <c r="B27" s="71">
        <v>46244</v>
      </c>
      <c r="C27" s="65">
        <v>661815641</v>
      </c>
      <c r="D27" s="68" t="s">
        <v>273</v>
      </c>
      <c r="E27" s="65" t="s">
        <v>254</v>
      </c>
      <c r="F27" s="42" t="s">
        <v>33</v>
      </c>
      <c r="G27" s="42" t="s">
        <v>39</v>
      </c>
      <c r="H27" s="43"/>
      <c r="I27" s="108">
        <v>4</v>
      </c>
      <c r="J27" s="43">
        <f t="shared" si="0"/>
        <v>781</v>
      </c>
      <c r="L27" s="1" t="s">
        <v>225</v>
      </c>
    </row>
    <row r="28" spans="1:12">
      <c r="A28" s="81">
        <v>281</v>
      </c>
      <c r="B28" s="71">
        <v>46244</v>
      </c>
      <c r="C28" s="65">
        <v>667705648</v>
      </c>
      <c r="D28" s="65" t="s">
        <v>226</v>
      </c>
      <c r="E28" s="65" t="s">
        <v>255</v>
      </c>
      <c r="F28" s="42" t="s">
        <v>20</v>
      </c>
      <c r="G28" s="42" t="s">
        <v>38</v>
      </c>
      <c r="H28" s="43"/>
      <c r="I28" s="108">
        <v>3</v>
      </c>
      <c r="J28" s="43">
        <f t="shared" si="0"/>
        <v>778</v>
      </c>
    </row>
    <row r="29" spans="1:12">
      <c r="A29" s="81">
        <v>281</v>
      </c>
      <c r="B29" s="71">
        <v>46244</v>
      </c>
      <c r="C29" s="65">
        <v>661514435</v>
      </c>
      <c r="D29" s="68" t="s">
        <v>272</v>
      </c>
      <c r="E29" s="65" t="s">
        <v>256</v>
      </c>
      <c r="F29" s="42" t="s">
        <v>225</v>
      </c>
      <c r="G29" s="42" t="s">
        <v>38</v>
      </c>
      <c r="H29" s="43"/>
      <c r="I29" s="108">
        <v>42.5</v>
      </c>
      <c r="J29" s="43">
        <f t="shared" si="0"/>
        <v>735.5</v>
      </c>
    </row>
    <row r="30" spans="1:12">
      <c r="A30" s="81">
        <v>282</v>
      </c>
      <c r="B30" s="71">
        <v>46244</v>
      </c>
      <c r="C30" s="65">
        <v>661514927</v>
      </c>
      <c r="D30" s="68" t="s">
        <v>271</v>
      </c>
      <c r="E30" s="65" t="s">
        <v>257</v>
      </c>
      <c r="F30" s="42" t="s">
        <v>225</v>
      </c>
      <c r="G30" s="42" t="s">
        <v>38</v>
      </c>
      <c r="H30" s="43"/>
      <c r="I30" s="108">
        <v>20</v>
      </c>
      <c r="J30" s="43">
        <f t="shared" si="0"/>
        <v>715.5</v>
      </c>
    </row>
    <row r="31" spans="1:12">
      <c r="A31" s="81">
        <v>283</v>
      </c>
      <c r="B31" s="71">
        <v>46244</v>
      </c>
      <c r="C31" s="65">
        <v>661514861</v>
      </c>
      <c r="D31" s="68" t="s">
        <v>270</v>
      </c>
      <c r="E31" s="65" t="s">
        <v>258</v>
      </c>
      <c r="F31" s="42" t="s">
        <v>225</v>
      </c>
      <c r="G31" s="42" t="s">
        <v>38</v>
      </c>
      <c r="H31" s="43"/>
      <c r="I31" s="108">
        <v>16</v>
      </c>
      <c r="J31" s="43">
        <f t="shared" si="0"/>
        <v>699.5</v>
      </c>
    </row>
    <row r="32" spans="1:12">
      <c r="A32" s="81">
        <v>284</v>
      </c>
      <c r="B32" s="71">
        <v>46244</v>
      </c>
      <c r="C32" s="65">
        <v>667698171</v>
      </c>
      <c r="D32" s="65" t="s">
        <v>235</v>
      </c>
      <c r="E32" s="65" t="s">
        <v>259</v>
      </c>
      <c r="F32" s="42" t="s">
        <v>20</v>
      </c>
      <c r="G32" s="42" t="s">
        <v>36</v>
      </c>
      <c r="H32" s="43"/>
      <c r="I32" s="108">
        <v>10</v>
      </c>
      <c r="J32" s="43">
        <f t="shared" si="0"/>
        <v>689.5</v>
      </c>
    </row>
    <row r="33" spans="1:13">
      <c r="A33" s="81">
        <v>285</v>
      </c>
      <c r="B33" s="71">
        <v>46246</v>
      </c>
      <c r="C33" s="65">
        <v>660000939</v>
      </c>
      <c r="D33" s="65" t="s">
        <v>236</v>
      </c>
      <c r="E33" s="65" t="s">
        <v>260</v>
      </c>
      <c r="F33" s="42" t="s">
        <v>225</v>
      </c>
      <c r="G33" s="42" t="s">
        <v>39</v>
      </c>
      <c r="H33" s="43"/>
      <c r="I33" s="108">
        <v>6</v>
      </c>
      <c r="J33" s="43">
        <f t="shared" si="0"/>
        <v>683.5</v>
      </c>
    </row>
    <row r="34" spans="1:13">
      <c r="A34" s="81">
        <v>286</v>
      </c>
      <c r="B34" s="71">
        <v>46246</v>
      </c>
      <c r="C34" s="65">
        <v>660000913</v>
      </c>
      <c r="D34" s="65" t="s">
        <v>237</v>
      </c>
      <c r="E34" s="65" t="s">
        <v>260</v>
      </c>
      <c r="F34" s="42" t="s">
        <v>225</v>
      </c>
      <c r="G34" s="42" t="s">
        <v>39</v>
      </c>
      <c r="H34" s="43"/>
      <c r="I34" s="108">
        <v>6</v>
      </c>
      <c r="J34" s="43">
        <f t="shared" si="0"/>
        <v>677.5</v>
      </c>
    </row>
    <row r="35" spans="1:13">
      <c r="A35" s="81">
        <v>287</v>
      </c>
      <c r="B35" s="71">
        <v>46246</v>
      </c>
      <c r="C35" s="65">
        <v>664104881</v>
      </c>
      <c r="D35" s="65" t="s">
        <v>238</v>
      </c>
      <c r="E35" s="65" t="s">
        <v>260</v>
      </c>
      <c r="F35" s="42" t="s">
        <v>225</v>
      </c>
      <c r="G35" s="42" t="s">
        <v>39</v>
      </c>
      <c r="H35" s="43"/>
      <c r="I35" s="108">
        <v>6</v>
      </c>
      <c r="J35" s="43">
        <f t="shared" si="0"/>
        <v>671.5</v>
      </c>
    </row>
    <row r="36" spans="1:13">
      <c r="A36" s="81">
        <v>288</v>
      </c>
      <c r="B36" s="71">
        <v>46246</v>
      </c>
      <c r="C36" s="65">
        <v>667745025</v>
      </c>
      <c r="D36" s="65" t="s">
        <v>239</v>
      </c>
      <c r="E36" s="65" t="s">
        <v>260</v>
      </c>
      <c r="F36" s="42" t="s">
        <v>225</v>
      </c>
      <c r="G36" s="42" t="s">
        <v>39</v>
      </c>
      <c r="H36" s="43"/>
      <c r="I36" s="108">
        <v>6</v>
      </c>
      <c r="J36" s="43">
        <f t="shared" si="0"/>
        <v>665.5</v>
      </c>
    </row>
    <row r="37" spans="1:13">
      <c r="A37" s="81">
        <v>289</v>
      </c>
      <c r="B37" s="67">
        <v>46246</v>
      </c>
      <c r="C37" s="65">
        <v>661759876</v>
      </c>
      <c r="D37" s="68" t="s">
        <v>278</v>
      </c>
      <c r="E37" s="65" t="s">
        <v>261</v>
      </c>
      <c r="F37" s="42" t="s">
        <v>33</v>
      </c>
      <c r="G37" s="42" t="s">
        <v>39</v>
      </c>
      <c r="H37" s="43"/>
      <c r="I37" s="108">
        <v>17</v>
      </c>
      <c r="J37" s="43">
        <f t="shared" si="0"/>
        <v>648.5</v>
      </c>
    </row>
    <row r="38" spans="1:13">
      <c r="A38" s="109">
        <v>290</v>
      </c>
      <c r="B38" s="71">
        <v>46247</v>
      </c>
      <c r="C38" s="65">
        <v>667705648</v>
      </c>
      <c r="D38" s="65" t="s">
        <v>226</v>
      </c>
      <c r="E38" s="65" t="s">
        <v>264</v>
      </c>
      <c r="F38" s="42" t="s">
        <v>20</v>
      </c>
      <c r="G38" s="42" t="s">
        <v>36</v>
      </c>
      <c r="H38" s="43"/>
      <c r="I38" s="108">
        <v>3</v>
      </c>
      <c r="J38" s="43">
        <f t="shared" si="0"/>
        <v>645.5</v>
      </c>
    </row>
    <row r="39" spans="1:13">
      <c r="A39" s="109">
        <v>291</v>
      </c>
      <c r="B39" s="71">
        <v>46247</v>
      </c>
      <c r="C39" s="65">
        <v>661296043</v>
      </c>
      <c r="D39" s="68" t="s">
        <v>279</v>
      </c>
      <c r="E39" s="65" t="s">
        <v>265</v>
      </c>
      <c r="F39" s="42" t="s">
        <v>33</v>
      </c>
      <c r="G39" s="42" t="s">
        <v>36</v>
      </c>
      <c r="H39" s="43"/>
      <c r="I39" s="108">
        <v>10</v>
      </c>
      <c r="J39" s="43">
        <f t="shared" si="0"/>
        <v>635.5</v>
      </c>
    </row>
    <row r="40" spans="1:13">
      <c r="A40" s="109">
        <v>292</v>
      </c>
      <c r="B40" s="71">
        <v>46247</v>
      </c>
      <c r="C40" s="65">
        <v>660000502</v>
      </c>
      <c r="D40" s="65" t="s">
        <v>230</v>
      </c>
      <c r="E40" s="65" t="s">
        <v>266</v>
      </c>
      <c r="F40" s="42" t="s">
        <v>225</v>
      </c>
      <c r="G40" s="42" t="s">
        <v>38</v>
      </c>
      <c r="H40" s="43"/>
      <c r="I40" s="108">
        <v>9</v>
      </c>
      <c r="J40" s="43">
        <f t="shared" si="0"/>
        <v>626.5</v>
      </c>
    </row>
    <row r="41" spans="1:13">
      <c r="A41" s="109">
        <v>293</v>
      </c>
      <c r="B41" s="71">
        <v>46247</v>
      </c>
      <c r="C41" s="65">
        <v>667643526</v>
      </c>
      <c r="D41" s="65" t="s">
        <v>263</v>
      </c>
      <c r="E41" s="65" t="s">
        <v>267</v>
      </c>
      <c r="F41" s="42" t="s">
        <v>34</v>
      </c>
      <c r="G41" s="42" t="s">
        <v>39</v>
      </c>
      <c r="H41" s="43"/>
      <c r="I41" s="108">
        <v>20</v>
      </c>
      <c r="J41" s="43">
        <f t="shared" si="0"/>
        <v>606.5</v>
      </c>
    </row>
    <row r="42" spans="1:13">
      <c r="A42" s="109">
        <v>294</v>
      </c>
      <c r="B42" s="71">
        <v>46247</v>
      </c>
      <c r="C42" s="65">
        <v>667716412</v>
      </c>
      <c r="D42" s="68" t="s">
        <v>280</v>
      </c>
      <c r="E42" s="65" t="s">
        <v>268</v>
      </c>
      <c r="F42" s="42" t="s">
        <v>20</v>
      </c>
      <c r="G42" s="42" t="s">
        <v>39</v>
      </c>
      <c r="H42" s="43"/>
      <c r="I42" s="108">
        <v>28</v>
      </c>
      <c r="J42" s="43">
        <f t="shared" si="0"/>
        <v>578.5</v>
      </c>
    </row>
    <row r="43" spans="1:13">
      <c r="A43" s="109">
        <v>295</v>
      </c>
      <c r="B43" s="71">
        <v>46247</v>
      </c>
      <c r="C43" s="65">
        <v>662222290</v>
      </c>
      <c r="D43" s="68" t="s">
        <v>281</v>
      </c>
      <c r="E43" s="65" t="s">
        <v>269</v>
      </c>
      <c r="F43" s="42" t="s">
        <v>20</v>
      </c>
      <c r="G43" s="42" t="s">
        <v>36</v>
      </c>
      <c r="H43" s="43"/>
      <c r="I43" s="108">
        <v>10</v>
      </c>
      <c r="J43" s="43">
        <f t="shared" si="0"/>
        <v>568.5</v>
      </c>
    </row>
    <row r="44" spans="1:13" ht="16.5">
      <c r="A44" s="89"/>
      <c r="B44" s="71"/>
      <c r="C44" s="40"/>
      <c r="D44" s="65"/>
      <c r="E44" s="110"/>
      <c r="F44" s="42"/>
      <c r="G44" s="42"/>
      <c r="H44" s="43"/>
      <c r="I44" s="43">
        <v>30</v>
      </c>
      <c r="J44" s="43">
        <f t="shared" si="0"/>
        <v>538.5</v>
      </c>
      <c r="L44" s="1" t="s">
        <v>20</v>
      </c>
      <c r="M44" s="1" t="s">
        <v>36</v>
      </c>
    </row>
    <row r="45" spans="1:13">
      <c r="A45" s="89"/>
      <c r="B45" s="40"/>
      <c r="C45" s="40"/>
      <c r="D45" s="65"/>
      <c r="E45" s="65"/>
      <c r="F45" s="42"/>
      <c r="G45" s="42"/>
      <c r="H45" s="43"/>
      <c r="I45" s="43"/>
      <c r="J45" s="43">
        <f t="shared" si="0"/>
        <v>538.5</v>
      </c>
      <c r="L45" s="1" t="s">
        <v>33</v>
      </c>
      <c r="M45" s="1" t="s">
        <v>37</v>
      </c>
    </row>
    <row r="46" spans="1:13">
      <c r="A46" s="89"/>
      <c r="B46" s="40"/>
      <c r="C46" s="40"/>
      <c r="D46" s="65"/>
      <c r="E46" s="65"/>
      <c r="F46" s="42"/>
      <c r="G46" s="42"/>
      <c r="H46" s="43"/>
      <c r="I46" s="43"/>
      <c r="J46" s="43">
        <f t="shared" si="0"/>
        <v>538.5</v>
      </c>
      <c r="L46" s="1" t="s">
        <v>34</v>
      </c>
      <c r="M46" s="1" t="s">
        <v>38</v>
      </c>
    </row>
    <row r="47" spans="1:13">
      <c r="A47" s="89"/>
      <c r="B47" s="40"/>
      <c r="C47" s="40"/>
      <c r="D47" s="65"/>
      <c r="E47" s="65"/>
      <c r="F47" s="42"/>
      <c r="G47" s="42"/>
      <c r="H47" s="43"/>
      <c r="I47" s="43"/>
      <c r="J47" s="43">
        <f t="shared" si="0"/>
        <v>538.5</v>
      </c>
      <c r="L47" s="1" t="s">
        <v>35</v>
      </c>
      <c r="M47" s="1" t="s">
        <v>39</v>
      </c>
    </row>
    <row r="48" spans="1:13">
      <c r="A48" s="89"/>
      <c r="B48" s="40"/>
      <c r="C48" s="40"/>
      <c r="D48" s="41"/>
      <c r="E48" s="65"/>
      <c r="F48" s="42"/>
      <c r="G48" s="42"/>
      <c r="H48" s="43"/>
      <c r="I48" s="43"/>
      <c r="J48" s="43">
        <f t="shared" si="0"/>
        <v>538.5</v>
      </c>
      <c r="L48" s="1" t="s">
        <v>21</v>
      </c>
    </row>
    <row r="49" spans="1:13">
      <c r="A49" s="89"/>
      <c r="B49" s="40"/>
      <c r="C49" s="40"/>
      <c r="D49" s="41"/>
      <c r="E49" s="41"/>
      <c r="F49" s="42"/>
      <c r="G49" s="42"/>
      <c r="H49" s="43"/>
      <c r="I49" s="43"/>
      <c r="J49" s="43">
        <f t="shared" si="0"/>
        <v>538.5</v>
      </c>
      <c r="L49" s="1" t="s">
        <v>221</v>
      </c>
    </row>
    <row r="50" spans="1:13">
      <c r="A50" s="89"/>
      <c r="B50" s="40"/>
      <c r="C50" s="40"/>
      <c r="D50" s="41"/>
      <c r="E50" s="41"/>
      <c r="F50" s="42"/>
      <c r="G50" s="42"/>
      <c r="H50" s="43"/>
      <c r="I50" s="43"/>
      <c r="J50" s="43">
        <f t="shared" si="0"/>
        <v>538.5</v>
      </c>
    </row>
    <row r="51" spans="1:13">
      <c r="A51" s="89"/>
      <c r="B51" s="40"/>
      <c r="C51" s="40"/>
      <c r="D51" s="41"/>
      <c r="E51" s="41"/>
      <c r="F51" s="42"/>
      <c r="G51" s="42"/>
      <c r="H51" s="43"/>
      <c r="I51" s="43"/>
      <c r="J51" s="43">
        <f t="shared" si="0"/>
        <v>538.5</v>
      </c>
    </row>
    <row r="52" spans="1:13">
      <c r="A52" s="89"/>
      <c r="B52" s="40"/>
      <c r="C52" s="40"/>
      <c r="D52" s="41"/>
      <c r="E52" s="41"/>
      <c r="F52" s="42"/>
      <c r="G52" s="42"/>
      <c r="H52" s="43"/>
      <c r="I52" s="43"/>
      <c r="J52" s="43">
        <f t="shared" si="0"/>
        <v>538.5</v>
      </c>
    </row>
    <row r="53" spans="1:13">
      <c r="A53" s="89"/>
      <c r="B53" s="40"/>
      <c r="C53" s="40"/>
      <c r="D53" s="41"/>
      <c r="E53" s="41"/>
      <c r="F53" s="42"/>
      <c r="G53" s="42"/>
      <c r="H53" s="43"/>
      <c r="I53" s="43"/>
      <c r="J53" s="43">
        <f t="shared" si="0"/>
        <v>538.5</v>
      </c>
    </row>
    <row r="54" spans="1:13">
      <c r="A54" s="89"/>
      <c r="B54" s="40"/>
      <c r="C54" s="40"/>
      <c r="D54" s="41"/>
      <c r="E54" s="41"/>
      <c r="F54" s="42"/>
      <c r="G54" s="42"/>
      <c r="H54" s="43"/>
      <c r="I54" s="43"/>
      <c r="J54" s="43">
        <f t="shared" si="0"/>
        <v>538.5</v>
      </c>
    </row>
    <row r="55" spans="1:13">
      <c r="A55" s="89"/>
      <c r="B55" s="40"/>
      <c r="C55" s="40"/>
      <c r="D55" s="41"/>
      <c r="E55" s="41"/>
      <c r="F55" s="42"/>
      <c r="G55" s="42"/>
      <c r="H55" s="43"/>
      <c r="I55" s="43"/>
      <c r="J55" s="43">
        <f t="shared" si="0"/>
        <v>538.5</v>
      </c>
    </row>
    <row r="56" spans="1:13">
      <c r="A56" s="89"/>
      <c r="B56" s="40"/>
      <c r="C56" s="40"/>
      <c r="D56" s="41"/>
      <c r="E56" s="41"/>
      <c r="F56" s="42"/>
      <c r="G56" s="42"/>
      <c r="H56" s="43"/>
      <c r="I56" s="43"/>
      <c r="J56" s="43">
        <f t="shared" si="0"/>
        <v>538.5</v>
      </c>
    </row>
    <row r="57" spans="1:13">
      <c r="A57" s="89"/>
      <c r="B57" s="40"/>
      <c r="C57" s="40"/>
      <c r="D57" s="41"/>
      <c r="E57" s="41"/>
      <c r="F57" s="42"/>
      <c r="G57" s="42"/>
      <c r="H57" s="43"/>
      <c r="I57" s="43"/>
      <c r="J57" s="43">
        <f t="shared" si="0"/>
        <v>538.5</v>
      </c>
    </row>
    <row r="58" spans="1:13">
      <c r="A58" s="89"/>
      <c r="B58" s="40"/>
      <c r="C58" s="40"/>
      <c r="D58" s="41"/>
      <c r="E58" s="41"/>
      <c r="F58" s="42"/>
      <c r="G58" s="42"/>
      <c r="H58" s="43"/>
      <c r="I58" s="43"/>
      <c r="J58" s="43">
        <f t="shared" si="0"/>
        <v>538.5</v>
      </c>
      <c r="L58" s="1" t="s">
        <v>20</v>
      </c>
      <c r="M58" s="1" t="s">
        <v>36</v>
      </c>
    </row>
    <row r="59" spans="1:13">
      <c r="A59" s="89"/>
      <c r="B59" s="40"/>
      <c r="C59" s="40"/>
      <c r="D59" s="41"/>
      <c r="E59" s="41"/>
      <c r="F59" s="42"/>
      <c r="G59" s="42"/>
      <c r="H59" s="43"/>
      <c r="I59" s="43"/>
      <c r="J59" s="43">
        <f t="shared" si="0"/>
        <v>538.5</v>
      </c>
      <c r="L59" s="1" t="s">
        <v>33</v>
      </c>
      <c r="M59" s="1" t="s">
        <v>37</v>
      </c>
    </row>
    <row r="60" spans="1:13">
      <c r="A60" s="89"/>
      <c r="B60" s="40"/>
      <c r="C60" s="40"/>
      <c r="D60" s="41"/>
      <c r="E60" s="41"/>
      <c r="F60" s="42"/>
      <c r="G60" s="42"/>
      <c r="H60" s="43"/>
      <c r="I60" s="43"/>
      <c r="J60" s="43">
        <f t="shared" si="0"/>
        <v>538.5</v>
      </c>
      <c r="L60" s="1" t="s">
        <v>34</v>
      </c>
      <c r="M60" s="1" t="s">
        <v>38</v>
      </c>
    </row>
    <row r="61" spans="1:13">
      <c r="A61" s="89"/>
      <c r="B61" s="40"/>
      <c r="C61" s="40"/>
      <c r="D61" s="41"/>
      <c r="E61" s="41"/>
      <c r="F61" s="42"/>
      <c r="G61" s="42"/>
      <c r="H61" s="43"/>
      <c r="I61" s="43"/>
      <c r="J61" s="43">
        <f t="shared" si="0"/>
        <v>538.5</v>
      </c>
      <c r="L61" s="1" t="s">
        <v>35</v>
      </c>
      <c r="M61" s="1" t="s">
        <v>39</v>
      </c>
    </row>
    <row r="62" spans="1:13">
      <c r="A62" s="89"/>
      <c r="B62" s="40"/>
      <c r="C62" s="40"/>
      <c r="D62" s="41"/>
      <c r="E62" s="41"/>
      <c r="F62" s="42"/>
      <c r="G62" s="42"/>
      <c r="H62" s="43"/>
      <c r="I62" s="43"/>
      <c r="J62" s="43">
        <f t="shared" si="0"/>
        <v>538.5</v>
      </c>
      <c r="L62" s="1" t="s">
        <v>21</v>
      </c>
    </row>
    <row r="63" spans="1:13">
      <c r="A63" s="89"/>
      <c r="B63" s="40"/>
      <c r="C63" s="40"/>
      <c r="D63" s="41"/>
      <c r="E63" s="41"/>
      <c r="F63" s="42"/>
      <c r="G63" s="42"/>
      <c r="H63" s="43"/>
      <c r="I63" s="43"/>
      <c r="J63" s="43">
        <f t="shared" si="0"/>
        <v>538.5</v>
      </c>
      <c r="L63" s="1" t="s">
        <v>41</v>
      </c>
    </row>
    <row r="64" spans="1:13">
      <c r="A64" s="89"/>
      <c r="B64" s="40"/>
      <c r="C64" s="40"/>
      <c r="D64" s="41"/>
      <c r="E64" s="41"/>
      <c r="F64" s="42"/>
      <c r="G64" s="42"/>
      <c r="H64" s="43"/>
      <c r="I64" s="43"/>
      <c r="J64" s="43">
        <f t="shared" si="0"/>
        <v>538.5</v>
      </c>
    </row>
    <row r="65" spans="1:10">
      <c r="A65" s="89"/>
      <c r="B65" s="40"/>
      <c r="C65" s="40"/>
      <c r="D65" s="41"/>
      <c r="E65" s="41"/>
      <c r="F65" s="42"/>
      <c r="G65" s="42"/>
      <c r="H65" s="43"/>
      <c r="I65" s="43"/>
      <c r="J65" s="43">
        <f t="shared" si="0"/>
        <v>538.5</v>
      </c>
    </row>
    <row r="66" spans="1:10">
      <c r="A66" s="89"/>
      <c r="B66" s="40"/>
      <c r="C66" s="40"/>
      <c r="D66" s="41"/>
      <c r="E66" s="41"/>
      <c r="F66" s="42"/>
      <c r="G66" s="42"/>
      <c r="H66" s="43"/>
      <c r="I66" s="43"/>
      <c r="J66" s="43">
        <f t="shared" si="0"/>
        <v>538.5</v>
      </c>
    </row>
    <row r="67" spans="1:10">
      <c r="A67" s="89"/>
      <c r="B67" s="40"/>
      <c r="C67" s="40"/>
      <c r="D67" s="41"/>
      <c r="E67" s="41"/>
      <c r="F67" s="42"/>
      <c r="G67" s="42"/>
      <c r="H67" s="43"/>
      <c r="I67" s="43"/>
      <c r="J67" s="43">
        <f t="shared" si="0"/>
        <v>538.5</v>
      </c>
    </row>
    <row r="68" spans="1:10">
      <c r="A68" s="89"/>
      <c r="B68" s="40"/>
      <c r="C68" s="40"/>
      <c r="D68" s="41"/>
      <c r="E68" s="41"/>
      <c r="F68" s="42"/>
      <c r="G68" s="42"/>
      <c r="H68" s="43"/>
      <c r="I68" s="43"/>
      <c r="J68" s="43">
        <f t="shared" si="0"/>
        <v>538.5</v>
      </c>
    </row>
    <row r="69" spans="1:10">
      <c r="A69" s="89"/>
      <c r="B69" s="40"/>
      <c r="C69" s="40"/>
      <c r="D69" s="41"/>
      <c r="E69" s="41"/>
      <c r="F69" s="42"/>
      <c r="G69" s="42"/>
      <c r="H69" s="43"/>
      <c r="I69" s="43"/>
      <c r="J69" s="43">
        <f t="shared" si="0"/>
        <v>538.5</v>
      </c>
    </row>
    <row r="70" spans="1:10">
      <c r="A70" s="89"/>
      <c r="B70" s="40"/>
      <c r="C70" s="40"/>
      <c r="D70" s="41"/>
      <c r="E70" s="41"/>
      <c r="F70" s="42"/>
      <c r="G70" s="42"/>
      <c r="H70" s="43"/>
      <c r="I70" s="43"/>
      <c r="J70" s="43">
        <f t="shared" si="0"/>
        <v>538.5</v>
      </c>
    </row>
    <row r="71" spans="1:10">
      <c r="A71" s="89"/>
      <c r="B71" s="40"/>
      <c r="C71" s="40"/>
      <c r="D71" s="41"/>
      <c r="E71" s="41"/>
      <c r="F71" s="42"/>
      <c r="G71" s="42"/>
      <c r="H71" s="43"/>
      <c r="I71" s="43"/>
      <c r="J71" s="43">
        <f t="shared" si="0"/>
        <v>538.5</v>
      </c>
    </row>
    <row r="72" spans="1:10">
      <c r="A72" s="89"/>
      <c r="B72" s="60"/>
      <c r="C72" s="60"/>
      <c r="D72" s="61"/>
      <c r="E72" s="61" t="s">
        <v>6</v>
      </c>
      <c r="F72" s="62" t="s">
        <v>5</v>
      </c>
      <c r="G72" s="62"/>
      <c r="H72" s="63">
        <f>SUM(H11:H71)+H6</f>
        <v>4.9000000000000004</v>
      </c>
      <c r="I72" s="63">
        <f>SUM(I11:I71)+I6</f>
        <v>461.5</v>
      </c>
      <c r="J72" s="63">
        <f>J71</f>
        <v>538.5</v>
      </c>
    </row>
    <row r="73" spans="1:10">
      <c r="A73" s="2"/>
      <c r="B73" s="89"/>
      <c r="C73" s="89"/>
      <c r="D73" s="2"/>
      <c r="E73" s="2"/>
      <c r="F73" s="86"/>
      <c r="G73" s="86"/>
      <c r="H73" s="13"/>
      <c r="I73" s="13"/>
      <c r="J73" s="13"/>
    </row>
    <row r="74" spans="1:10">
      <c r="I74" s="6" t="s">
        <v>5</v>
      </c>
    </row>
    <row r="75" spans="1:10">
      <c r="J75" s="1"/>
    </row>
    <row r="76" spans="1:10" ht="30.75" customHeight="1">
      <c r="B76" s="1"/>
      <c r="C76" s="1"/>
      <c r="D76" s="7"/>
      <c r="E76" s="8" t="s">
        <v>7</v>
      </c>
      <c r="F76" s="9" t="s">
        <v>8</v>
      </c>
      <c r="G76" s="9"/>
      <c r="H76" s="9" t="s">
        <v>12</v>
      </c>
      <c r="I76" s="10" t="s">
        <v>4</v>
      </c>
      <c r="J76" s="1"/>
    </row>
    <row r="77" spans="1:10" ht="34.5" customHeight="1">
      <c r="B77" s="1"/>
      <c r="C77" s="1"/>
      <c r="D77" s="8" t="s">
        <v>9</v>
      </c>
      <c r="E77" s="8"/>
      <c r="F77" s="11"/>
      <c r="G77" s="11"/>
      <c r="H77" s="12"/>
      <c r="I77" s="12"/>
      <c r="J77" s="1"/>
    </row>
    <row r="78" spans="1:10" ht="31.5" customHeight="1">
      <c r="B78" s="1"/>
      <c r="C78" s="1"/>
      <c r="D78" s="8" t="s">
        <v>10</v>
      </c>
      <c r="E78" s="8"/>
      <c r="F78" s="11"/>
      <c r="G78" s="11"/>
      <c r="H78" s="12"/>
      <c r="I78" s="12"/>
      <c r="J78" s="1"/>
    </row>
    <row r="79" spans="1:10" ht="39" customHeight="1">
      <c r="B79" s="1"/>
      <c r="C79" s="1"/>
      <c r="D79" s="8" t="s">
        <v>11</v>
      </c>
      <c r="E79" s="8"/>
      <c r="F79" s="11"/>
      <c r="G79" s="11"/>
      <c r="H79" s="12"/>
      <c r="I79" s="12"/>
      <c r="J79" s="1"/>
    </row>
    <row r="80" spans="1:10" ht="18" customHeight="1">
      <c r="B80" s="1"/>
      <c r="C80" s="1"/>
      <c r="D80" s="13"/>
      <c r="E80" s="2"/>
      <c r="F80" s="2"/>
      <c r="G80" s="2"/>
      <c r="H80" s="2"/>
      <c r="I80" s="2"/>
    </row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spans="1:13" ht="18" customHeight="1"/>
    <row r="98" spans="1:13">
      <c r="L98" s="3"/>
      <c r="M98" s="3"/>
    </row>
    <row r="99" spans="1:13" s="3" customFormat="1">
      <c r="A99" s="1"/>
      <c r="B99" s="4"/>
      <c r="C99" s="4"/>
      <c r="D99" s="1"/>
      <c r="E99" s="1"/>
      <c r="F99" s="5"/>
      <c r="G99" s="5"/>
      <c r="H99" s="6"/>
      <c r="I99" s="6"/>
      <c r="J99" s="6"/>
      <c r="L99" s="1"/>
      <c r="M99" s="1"/>
    </row>
    <row r="100" spans="1:13">
      <c r="A100" s="3"/>
    </row>
  </sheetData>
  <mergeCells count="5">
    <mergeCell ref="A1:J3"/>
    <mergeCell ref="B4:D6"/>
    <mergeCell ref="E4:F5"/>
    <mergeCell ref="E6:F6"/>
    <mergeCell ref="E7:F7"/>
  </mergeCells>
  <dataValidations count="5">
    <dataValidation type="list" allowBlank="1" showInputMessage="1" showErrorMessage="1" sqref="G10:G59 G61:G71">
      <formula1>$M$58:$M$61</formula1>
    </dataValidation>
    <dataValidation type="list" allowBlank="1" showInputMessage="1" showErrorMessage="1" sqref="F61:F71">
      <formula1>$L$16:$L$63</formula1>
    </dataValidation>
    <dataValidation type="list" allowBlank="1" showInputMessage="1" showErrorMessage="1" sqref="F50:F60">
      <formula1>"Tasliis,Repair of Vehicle,Repar of Building,Repair of Vehicle,Refreshment, Repair of Generators, Miscellaneous exp"</formula1>
    </dataValidation>
    <dataValidation type="list" allowBlank="1" showInputMessage="1" showErrorMessage="1" sqref="F10">
      <formula1>"Tasliis,Repair of Vehicle,Repair of Building,Repair of Vehicle,Refreshment, Repair of Generators, Miscellaneous exp,Transportation"</formula1>
    </dataValidation>
    <dataValidation type="list" allowBlank="1" showInputMessage="1" showErrorMessage="1" sqref="F11:F49">
      <formula1>$L$21:$L$27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G3:O31"/>
  <sheetViews>
    <sheetView workbookViewId="0">
      <selection activeCell="O4" sqref="O4"/>
    </sheetView>
  </sheetViews>
  <sheetFormatPr defaultRowHeight="12.75"/>
  <sheetData>
    <row r="3" spans="7:15">
      <c r="G3" t="s">
        <v>282</v>
      </c>
      <c r="H3" t="s">
        <v>283</v>
      </c>
      <c r="I3" t="s">
        <v>284</v>
      </c>
      <c r="J3" t="s">
        <v>290</v>
      </c>
      <c r="K3" t="s">
        <v>291</v>
      </c>
      <c r="L3" t="s">
        <v>285</v>
      </c>
      <c r="M3" t="s">
        <v>286</v>
      </c>
      <c r="N3" t="s">
        <v>287</v>
      </c>
      <c r="O3" t="s">
        <v>288</v>
      </c>
    </row>
    <row r="4" spans="7:15">
      <c r="G4">
        <v>661393787</v>
      </c>
      <c r="H4">
        <v>668888848</v>
      </c>
      <c r="I4" s="66">
        <v>3</v>
      </c>
      <c r="J4">
        <v>0</v>
      </c>
      <c r="K4" t="s">
        <v>293</v>
      </c>
      <c r="L4" s="78">
        <v>46252</v>
      </c>
      <c r="M4" t="s">
        <v>296</v>
      </c>
      <c r="N4" t="s">
        <v>297</v>
      </c>
      <c r="O4">
        <v>-409</v>
      </c>
    </row>
    <row r="5" spans="7:15" hidden="1">
      <c r="G5" t="s">
        <v>295</v>
      </c>
      <c r="H5" t="s">
        <v>292</v>
      </c>
      <c r="I5" s="66"/>
      <c r="L5" s="79">
        <v>0.42222222222222222</v>
      </c>
    </row>
    <row r="6" spans="7:15">
      <c r="G6">
        <v>661393787</v>
      </c>
      <c r="H6">
        <v>665743207</v>
      </c>
      <c r="I6" s="66">
        <v>12</v>
      </c>
      <c r="J6">
        <v>0</v>
      </c>
      <c r="K6" t="s">
        <v>293</v>
      </c>
      <c r="L6" s="78">
        <v>46252</v>
      </c>
      <c r="M6" t="s">
        <v>299</v>
      </c>
      <c r="N6" t="s">
        <v>300</v>
      </c>
      <c r="O6">
        <v>-410</v>
      </c>
    </row>
    <row r="7" spans="7:15" hidden="1">
      <c r="G7" t="s">
        <v>298</v>
      </c>
      <c r="H7" t="s">
        <v>292</v>
      </c>
      <c r="I7" s="66"/>
      <c r="L7" s="79">
        <v>0.42152777777777778</v>
      </c>
    </row>
    <row r="8" spans="7:15">
      <c r="G8">
        <v>661393787</v>
      </c>
      <c r="H8">
        <v>667751379</v>
      </c>
      <c r="I8" s="66">
        <v>3</v>
      </c>
      <c r="J8">
        <v>0</v>
      </c>
      <c r="K8" t="s">
        <v>293</v>
      </c>
      <c r="L8" s="78">
        <v>46252</v>
      </c>
      <c r="M8" t="s">
        <v>302</v>
      </c>
      <c r="N8" t="s">
        <v>303</v>
      </c>
      <c r="O8">
        <v>-411</v>
      </c>
    </row>
    <row r="9" spans="7:15" hidden="1">
      <c r="G9" t="s">
        <v>301</v>
      </c>
      <c r="H9" t="s">
        <v>292</v>
      </c>
      <c r="I9" s="66"/>
      <c r="L9" s="79">
        <v>0.42291666666666666</v>
      </c>
    </row>
    <row r="10" spans="7:15">
      <c r="G10">
        <v>661393787</v>
      </c>
      <c r="H10">
        <v>657173644</v>
      </c>
      <c r="I10" s="66">
        <v>26.5</v>
      </c>
      <c r="J10">
        <v>0</v>
      </c>
      <c r="K10" t="s">
        <v>293</v>
      </c>
      <c r="L10" s="78">
        <v>46252</v>
      </c>
      <c r="M10" t="s">
        <v>185</v>
      </c>
      <c r="N10" t="s">
        <v>305</v>
      </c>
      <c r="O10">
        <v>-412</v>
      </c>
    </row>
    <row r="11" spans="7:15" hidden="1">
      <c r="G11" t="s">
        <v>304</v>
      </c>
      <c r="H11" t="s">
        <v>294</v>
      </c>
      <c r="I11" s="66"/>
      <c r="L11" s="79">
        <v>0.42291666666666666</v>
      </c>
    </row>
    <row r="12" spans="7:15">
      <c r="G12">
        <v>661393787</v>
      </c>
      <c r="H12">
        <v>667762992</v>
      </c>
      <c r="I12" s="66">
        <v>2</v>
      </c>
      <c r="J12">
        <v>0</v>
      </c>
      <c r="K12" t="s">
        <v>293</v>
      </c>
      <c r="L12" s="78">
        <v>46252</v>
      </c>
      <c r="M12" t="s">
        <v>307</v>
      </c>
      <c r="N12" t="s">
        <v>308</v>
      </c>
      <c r="O12">
        <v>-413</v>
      </c>
    </row>
    <row r="13" spans="7:15" hidden="1">
      <c r="G13" t="s">
        <v>306</v>
      </c>
      <c r="H13" t="s">
        <v>292</v>
      </c>
      <c r="I13" s="66"/>
      <c r="L13" s="79">
        <v>0.42083333333333334</v>
      </c>
    </row>
    <row r="14" spans="7:15">
      <c r="G14">
        <v>661393787</v>
      </c>
      <c r="H14">
        <v>667602025</v>
      </c>
      <c r="I14" s="66">
        <v>30</v>
      </c>
      <c r="J14">
        <v>0</v>
      </c>
      <c r="K14" t="s">
        <v>293</v>
      </c>
      <c r="L14" s="78">
        <v>46252</v>
      </c>
      <c r="M14" t="s">
        <v>222</v>
      </c>
      <c r="N14" t="s">
        <v>310</v>
      </c>
      <c r="O14">
        <v>-414</v>
      </c>
    </row>
    <row r="15" spans="7:15" hidden="1">
      <c r="G15" t="s">
        <v>309</v>
      </c>
      <c r="H15" t="s">
        <v>292</v>
      </c>
      <c r="I15" s="66"/>
      <c r="L15" s="79">
        <v>0.4236111111111111</v>
      </c>
    </row>
    <row r="16" spans="7:15">
      <c r="G16">
        <v>661393787</v>
      </c>
      <c r="H16">
        <v>666453641</v>
      </c>
      <c r="I16" s="66">
        <v>6</v>
      </c>
      <c r="J16">
        <v>0</v>
      </c>
      <c r="K16" t="s">
        <v>293</v>
      </c>
      <c r="L16" s="78">
        <v>46252</v>
      </c>
      <c r="M16" t="s">
        <v>312</v>
      </c>
      <c r="N16" t="s">
        <v>313</v>
      </c>
      <c r="O16">
        <v>-415</v>
      </c>
    </row>
    <row r="17" spans="7:15" hidden="1">
      <c r="G17" t="s">
        <v>311</v>
      </c>
      <c r="H17" t="s">
        <v>294</v>
      </c>
      <c r="I17" s="66"/>
      <c r="L17" s="79">
        <v>0.4236111111111111</v>
      </c>
    </row>
    <row r="18" spans="7:15">
      <c r="G18">
        <v>661393787</v>
      </c>
      <c r="H18">
        <v>661295880</v>
      </c>
      <c r="I18" s="66">
        <v>10</v>
      </c>
      <c r="J18">
        <v>0</v>
      </c>
      <c r="K18" t="s">
        <v>293</v>
      </c>
      <c r="L18" s="78">
        <v>46252</v>
      </c>
      <c r="M18" t="s">
        <v>315</v>
      </c>
      <c r="N18" t="s">
        <v>316</v>
      </c>
      <c r="O18">
        <v>-417</v>
      </c>
    </row>
    <row r="19" spans="7:15" hidden="1">
      <c r="G19" t="s">
        <v>314</v>
      </c>
      <c r="H19" t="s">
        <v>294</v>
      </c>
      <c r="I19" s="66"/>
      <c r="L19" s="79">
        <v>0.42430555555555555</v>
      </c>
    </row>
    <row r="20" spans="7:15">
      <c r="G20">
        <v>661393787</v>
      </c>
      <c r="H20">
        <v>661382262</v>
      </c>
      <c r="I20" s="66">
        <v>12.35</v>
      </c>
      <c r="J20">
        <v>0</v>
      </c>
      <c r="K20" t="s">
        <v>293</v>
      </c>
      <c r="L20" s="78">
        <v>46252</v>
      </c>
      <c r="M20" t="s">
        <v>318</v>
      </c>
      <c r="N20" t="s">
        <v>319</v>
      </c>
      <c r="O20">
        <v>-416</v>
      </c>
    </row>
    <row r="21" spans="7:15" hidden="1">
      <c r="G21" t="s">
        <v>317</v>
      </c>
      <c r="H21" t="s">
        <v>294</v>
      </c>
      <c r="I21" s="66"/>
      <c r="L21" s="79">
        <v>0.42430555555555555</v>
      </c>
    </row>
    <row r="22" spans="7:15">
      <c r="G22">
        <v>661393787</v>
      </c>
      <c r="H22">
        <v>661313081</v>
      </c>
      <c r="I22" s="66">
        <v>6.4</v>
      </c>
      <c r="J22">
        <v>0</v>
      </c>
      <c r="K22" t="s">
        <v>293</v>
      </c>
      <c r="L22" s="78">
        <v>46252</v>
      </c>
      <c r="M22" t="s">
        <v>321</v>
      </c>
      <c r="N22" t="s">
        <v>322</v>
      </c>
      <c r="O22">
        <v>-418</v>
      </c>
    </row>
    <row r="23" spans="7:15" hidden="1">
      <c r="G23" t="s">
        <v>320</v>
      </c>
      <c r="H23" t="s">
        <v>294</v>
      </c>
      <c r="I23" s="66"/>
      <c r="L23" s="79">
        <v>0.42430555555555555</v>
      </c>
    </row>
    <row r="24" spans="7:15">
      <c r="G24">
        <v>661393787</v>
      </c>
      <c r="H24">
        <v>667566013</v>
      </c>
      <c r="I24" s="66">
        <v>5</v>
      </c>
      <c r="J24">
        <v>0</v>
      </c>
      <c r="K24" t="s">
        <v>293</v>
      </c>
      <c r="L24" s="78">
        <v>46252</v>
      </c>
      <c r="M24" t="s">
        <v>324</v>
      </c>
      <c r="N24" t="s">
        <v>325</v>
      </c>
      <c r="O24">
        <v>-419</v>
      </c>
    </row>
    <row r="25" spans="7:15" hidden="1">
      <c r="G25" t="s">
        <v>323</v>
      </c>
      <c r="H25" t="s">
        <v>292</v>
      </c>
      <c r="I25" s="66"/>
      <c r="L25" s="79">
        <v>0.42499999999999999</v>
      </c>
    </row>
    <row r="26" spans="7:15">
      <c r="G26">
        <v>661393787</v>
      </c>
      <c r="H26">
        <v>661685482</v>
      </c>
      <c r="I26" s="66">
        <v>5</v>
      </c>
      <c r="J26">
        <v>0</v>
      </c>
      <c r="K26" t="s">
        <v>293</v>
      </c>
      <c r="L26" s="78">
        <v>46252</v>
      </c>
      <c r="M26" t="s">
        <v>327</v>
      </c>
      <c r="N26" t="s">
        <v>328</v>
      </c>
      <c r="O26">
        <v>-420</v>
      </c>
    </row>
    <row r="27" spans="7:15" hidden="1">
      <c r="G27" t="s">
        <v>326</v>
      </c>
      <c r="H27" t="s">
        <v>294</v>
      </c>
      <c r="I27" s="66"/>
      <c r="L27" s="79">
        <v>0.42499999999999999</v>
      </c>
    </row>
    <row r="28" spans="7:15">
      <c r="G28">
        <v>661393787</v>
      </c>
      <c r="H28">
        <v>667741578</v>
      </c>
      <c r="I28" s="66">
        <v>15</v>
      </c>
      <c r="J28">
        <v>0</v>
      </c>
      <c r="K28" t="s">
        <v>293</v>
      </c>
      <c r="L28" s="78">
        <v>46252</v>
      </c>
      <c r="M28" t="s">
        <v>330</v>
      </c>
      <c r="N28" t="s">
        <v>331</v>
      </c>
      <c r="O28">
        <v>-421</v>
      </c>
    </row>
    <row r="29" spans="7:15" hidden="1">
      <c r="G29" t="s">
        <v>329</v>
      </c>
      <c r="H29" t="s">
        <v>292</v>
      </c>
      <c r="I29" s="66"/>
      <c r="L29" s="79">
        <v>0.42569444444444443</v>
      </c>
    </row>
    <row r="30" spans="7:15">
      <c r="G30">
        <v>661393787</v>
      </c>
      <c r="H30">
        <v>660000588</v>
      </c>
      <c r="I30" s="66">
        <v>20</v>
      </c>
      <c r="J30">
        <v>0</v>
      </c>
      <c r="K30" t="s">
        <v>293</v>
      </c>
      <c r="L30" s="78">
        <v>46252</v>
      </c>
      <c r="M30" t="s">
        <v>333</v>
      </c>
      <c r="N30" t="s">
        <v>334</v>
      </c>
      <c r="O30">
        <v>-423</v>
      </c>
    </row>
    <row r="31" spans="7:15" hidden="1">
      <c r="G31" t="s">
        <v>332</v>
      </c>
      <c r="H31" t="s">
        <v>292</v>
      </c>
      <c r="L31" s="79">
        <v>0.42638888888888887</v>
      </c>
    </row>
  </sheetData>
  <autoFilter ref="G3:O31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4:N19"/>
  <sheetViews>
    <sheetView workbookViewId="0">
      <selection activeCell="N18" sqref="N18"/>
    </sheetView>
  </sheetViews>
  <sheetFormatPr defaultRowHeight="12.75"/>
  <cols>
    <col min="8" max="9" width="10" bestFit="1" customWidth="1"/>
  </cols>
  <sheetData>
    <row r="4" spans="8:14">
      <c r="H4" t="s">
        <v>282</v>
      </c>
      <c r="I4" t="s">
        <v>283</v>
      </c>
      <c r="J4" t="s">
        <v>284</v>
      </c>
      <c r="K4" t="s">
        <v>285</v>
      </c>
      <c r="L4" t="s">
        <v>286</v>
      </c>
      <c r="M4" t="s">
        <v>287</v>
      </c>
      <c r="N4" t="s">
        <v>288</v>
      </c>
    </row>
    <row r="5" spans="8:14">
      <c r="H5">
        <v>661393787</v>
      </c>
      <c r="I5">
        <v>668888848</v>
      </c>
      <c r="J5" s="66">
        <v>3</v>
      </c>
      <c r="K5">
        <v>46252</v>
      </c>
      <c r="L5" t="s">
        <v>296</v>
      </c>
      <c r="M5" t="s">
        <v>297</v>
      </c>
      <c r="N5">
        <v>409</v>
      </c>
    </row>
    <row r="6" spans="8:14">
      <c r="H6">
        <v>661393787</v>
      </c>
      <c r="I6">
        <v>665743207</v>
      </c>
      <c r="J6" s="66">
        <v>12</v>
      </c>
      <c r="K6">
        <v>46252</v>
      </c>
      <c r="L6" t="s">
        <v>299</v>
      </c>
      <c r="M6" t="s">
        <v>300</v>
      </c>
      <c r="N6">
        <v>410</v>
      </c>
    </row>
    <row r="7" spans="8:14">
      <c r="H7">
        <v>661393787</v>
      </c>
      <c r="I7">
        <v>667751379</v>
      </c>
      <c r="J7" s="66">
        <v>3</v>
      </c>
      <c r="K7">
        <v>46252</v>
      </c>
      <c r="L7" t="s">
        <v>302</v>
      </c>
      <c r="M7" t="s">
        <v>303</v>
      </c>
      <c r="N7">
        <v>411</v>
      </c>
    </row>
    <row r="8" spans="8:14">
      <c r="H8">
        <v>661393787</v>
      </c>
      <c r="I8">
        <v>657173644</v>
      </c>
      <c r="J8" s="66">
        <v>26.5</v>
      </c>
      <c r="K8">
        <v>46252</v>
      </c>
      <c r="L8" t="s">
        <v>185</v>
      </c>
      <c r="M8" t="s">
        <v>305</v>
      </c>
      <c r="N8">
        <v>412</v>
      </c>
    </row>
    <row r="9" spans="8:14">
      <c r="H9">
        <v>661393787</v>
      </c>
      <c r="I9">
        <v>667762992</v>
      </c>
      <c r="J9" s="66">
        <v>2</v>
      </c>
      <c r="K9">
        <v>46252</v>
      </c>
      <c r="L9" t="s">
        <v>307</v>
      </c>
      <c r="M9" t="s">
        <v>308</v>
      </c>
      <c r="N9">
        <v>413</v>
      </c>
    </row>
    <row r="10" spans="8:14">
      <c r="H10">
        <v>661393787</v>
      </c>
      <c r="I10">
        <v>667602025</v>
      </c>
      <c r="J10" s="66">
        <v>30</v>
      </c>
      <c r="K10">
        <v>46252</v>
      </c>
      <c r="L10" t="s">
        <v>222</v>
      </c>
      <c r="M10" t="s">
        <v>310</v>
      </c>
      <c r="N10">
        <v>414</v>
      </c>
    </row>
    <row r="11" spans="8:14">
      <c r="H11">
        <v>661393787</v>
      </c>
      <c r="I11">
        <v>666453641</v>
      </c>
      <c r="J11" s="66">
        <v>6</v>
      </c>
      <c r="K11">
        <v>46252</v>
      </c>
      <c r="L11" t="s">
        <v>312</v>
      </c>
      <c r="M11" t="s">
        <v>313</v>
      </c>
      <c r="N11">
        <v>415</v>
      </c>
    </row>
    <row r="12" spans="8:14">
      <c r="H12">
        <v>661393787</v>
      </c>
      <c r="I12">
        <v>661295880</v>
      </c>
      <c r="J12" s="66">
        <v>10</v>
      </c>
      <c r="K12">
        <v>46252</v>
      </c>
      <c r="L12" t="s">
        <v>315</v>
      </c>
      <c r="M12" t="s">
        <v>316</v>
      </c>
      <c r="N12">
        <v>417</v>
      </c>
    </row>
    <row r="13" spans="8:14">
      <c r="H13">
        <v>661393787</v>
      </c>
      <c r="I13">
        <v>661382262</v>
      </c>
      <c r="J13" s="66">
        <v>12.35</v>
      </c>
      <c r="K13">
        <v>46252</v>
      </c>
      <c r="L13" t="s">
        <v>318</v>
      </c>
      <c r="M13" t="s">
        <v>319</v>
      </c>
      <c r="N13">
        <v>416</v>
      </c>
    </row>
    <row r="14" spans="8:14">
      <c r="H14">
        <v>661393787</v>
      </c>
      <c r="I14">
        <v>661313081</v>
      </c>
      <c r="J14" s="66">
        <v>6.4</v>
      </c>
      <c r="K14">
        <v>46252</v>
      </c>
      <c r="L14" t="s">
        <v>321</v>
      </c>
      <c r="M14" t="s">
        <v>322</v>
      </c>
      <c r="N14">
        <v>418</v>
      </c>
    </row>
    <row r="15" spans="8:14">
      <c r="H15">
        <v>661393787</v>
      </c>
      <c r="I15">
        <v>667566013</v>
      </c>
      <c r="J15" s="66">
        <v>5</v>
      </c>
      <c r="K15">
        <v>46252</v>
      </c>
      <c r="L15" t="s">
        <v>324</v>
      </c>
      <c r="M15" t="s">
        <v>325</v>
      </c>
      <c r="N15">
        <v>419</v>
      </c>
    </row>
    <row r="16" spans="8:14">
      <c r="H16">
        <v>661393787</v>
      </c>
      <c r="I16">
        <v>661685482</v>
      </c>
      <c r="J16" s="66">
        <v>5</v>
      </c>
      <c r="K16">
        <v>46252</v>
      </c>
      <c r="L16" t="s">
        <v>327</v>
      </c>
      <c r="M16" t="s">
        <v>328</v>
      </c>
      <c r="N16">
        <v>420</v>
      </c>
    </row>
    <row r="17" spans="8:14">
      <c r="H17">
        <v>661393787</v>
      </c>
      <c r="I17">
        <v>667741578</v>
      </c>
      <c r="J17" s="66">
        <v>15</v>
      </c>
      <c r="K17">
        <v>46252</v>
      </c>
      <c r="L17" t="s">
        <v>330</v>
      </c>
      <c r="M17" t="s">
        <v>331</v>
      </c>
      <c r="N17">
        <v>421</v>
      </c>
    </row>
    <row r="18" spans="8:14">
      <c r="H18">
        <v>661393787</v>
      </c>
      <c r="I18">
        <v>660000588</v>
      </c>
      <c r="J18" s="66">
        <v>20</v>
      </c>
      <c r="K18">
        <v>46252</v>
      </c>
      <c r="L18" t="s">
        <v>333</v>
      </c>
      <c r="M18" t="s">
        <v>334</v>
      </c>
      <c r="N18">
        <v>423</v>
      </c>
    </row>
    <row r="19" spans="8:14">
      <c r="J19" s="80">
        <f>SUM(J5:J18)</f>
        <v>156.25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93"/>
  <sheetViews>
    <sheetView workbookViewId="0"/>
  </sheetViews>
  <sheetFormatPr defaultRowHeight="12.75"/>
  <cols>
    <col min="1" max="1" width="13.28515625" bestFit="1" customWidth="1"/>
    <col min="2" max="2" width="14.28515625" bestFit="1" customWidth="1"/>
    <col min="4" max="4" width="13.140625" bestFit="1" customWidth="1"/>
    <col min="5" max="5" width="41.5703125" customWidth="1"/>
    <col min="6" max="6" width="55.28515625" customWidth="1"/>
  </cols>
  <sheetData>
    <row r="1" spans="1:10" ht="14.25">
      <c r="A1" s="45" t="s">
        <v>214</v>
      </c>
      <c r="B1" s="45" t="s">
        <v>215</v>
      </c>
      <c r="C1" s="46" t="s">
        <v>216</v>
      </c>
      <c r="D1" s="45" t="s">
        <v>217</v>
      </c>
      <c r="E1" s="45" t="s">
        <v>218</v>
      </c>
      <c r="F1" s="45" t="s">
        <v>219</v>
      </c>
      <c r="G1" s="45" t="s">
        <v>220</v>
      </c>
      <c r="H1" s="45"/>
    </row>
    <row r="2" spans="1:10" ht="14.25">
      <c r="A2" s="47">
        <v>661393787</v>
      </c>
      <c r="B2" s="47">
        <v>660000169</v>
      </c>
      <c r="C2" s="53">
        <v>3</v>
      </c>
      <c r="D2" s="48">
        <v>46214</v>
      </c>
      <c r="E2" s="50" t="s">
        <v>203</v>
      </c>
      <c r="F2" s="51" t="s">
        <v>204</v>
      </c>
      <c r="G2" s="52">
        <v>-79</v>
      </c>
      <c r="H2" s="47"/>
      <c r="I2">
        <v>-1</v>
      </c>
      <c r="J2">
        <f>G2</f>
        <v>-79</v>
      </c>
    </row>
    <row r="3" spans="1:10" ht="14.25">
      <c r="A3" s="47">
        <v>661393787</v>
      </c>
      <c r="B3" s="47">
        <v>667737444</v>
      </c>
      <c r="C3" s="53">
        <v>40</v>
      </c>
      <c r="D3" s="48">
        <v>46214</v>
      </c>
      <c r="E3" s="50" t="s">
        <v>205</v>
      </c>
      <c r="F3" s="51" t="s">
        <v>206</v>
      </c>
      <c r="G3" s="52">
        <v>-80</v>
      </c>
      <c r="H3" s="47"/>
    </row>
    <row r="4" spans="1:10" ht="14.25">
      <c r="A4" s="47">
        <v>661393787</v>
      </c>
      <c r="B4" s="47">
        <v>661859999</v>
      </c>
      <c r="C4" s="53">
        <v>19</v>
      </c>
      <c r="D4" s="48">
        <v>46214</v>
      </c>
      <c r="E4" s="50" t="s">
        <v>87</v>
      </c>
      <c r="F4" s="51" t="s">
        <v>207</v>
      </c>
      <c r="G4" s="52">
        <v>-81</v>
      </c>
      <c r="H4" s="47"/>
    </row>
    <row r="5" spans="1:10" ht="75" customHeight="1">
      <c r="A5" s="47">
        <v>661393787</v>
      </c>
      <c r="B5" s="47">
        <v>661911042</v>
      </c>
      <c r="C5" s="53">
        <v>7.5</v>
      </c>
      <c r="D5" s="48">
        <v>46214</v>
      </c>
      <c r="E5" s="50" t="s">
        <v>208</v>
      </c>
      <c r="F5" s="51" t="s">
        <v>209</v>
      </c>
      <c r="G5" s="52">
        <v>-82</v>
      </c>
      <c r="H5" s="47"/>
    </row>
    <row r="6" spans="1:10" ht="32.25" customHeight="1">
      <c r="A6" s="47">
        <v>661393787</v>
      </c>
      <c r="B6" s="47">
        <v>661923302</v>
      </c>
      <c r="C6" s="53">
        <v>40</v>
      </c>
      <c r="D6" s="48">
        <v>46214</v>
      </c>
      <c r="E6" s="50" t="s">
        <v>210</v>
      </c>
      <c r="F6" s="51" t="s">
        <v>211</v>
      </c>
      <c r="G6" s="52">
        <v>-83</v>
      </c>
      <c r="H6" s="47"/>
    </row>
    <row r="7" spans="1:10" ht="46.5" customHeight="1">
      <c r="A7" s="47">
        <v>661393787</v>
      </c>
      <c r="B7" s="47">
        <v>660000044</v>
      </c>
      <c r="C7" s="53">
        <v>10</v>
      </c>
      <c r="D7" s="48">
        <v>46214</v>
      </c>
      <c r="E7" s="50" t="s">
        <v>212</v>
      </c>
      <c r="F7" s="51" t="s">
        <v>213</v>
      </c>
      <c r="G7" s="52">
        <v>-84</v>
      </c>
      <c r="H7" s="47"/>
    </row>
    <row r="8" spans="1:10" ht="32.25" customHeight="1">
      <c r="A8" s="47">
        <v>661393787</v>
      </c>
      <c r="B8" s="47">
        <v>666585734</v>
      </c>
      <c r="C8" s="53">
        <v>24</v>
      </c>
      <c r="D8" s="48">
        <v>46214</v>
      </c>
      <c r="E8" s="50" t="s">
        <v>67</v>
      </c>
      <c r="F8" s="51" t="s">
        <v>202</v>
      </c>
      <c r="G8" s="52">
        <v>-85</v>
      </c>
      <c r="H8" s="47"/>
    </row>
    <row r="9" spans="1:10" ht="46.5" customHeight="1">
      <c r="A9" s="47">
        <v>661393787</v>
      </c>
      <c r="B9" s="47">
        <v>661793389</v>
      </c>
      <c r="C9" s="53">
        <v>38</v>
      </c>
      <c r="D9" s="48">
        <v>46214</v>
      </c>
      <c r="E9" s="50" t="s">
        <v>200</v>
      </c>
      <c r="F9" s="51" t="s">
        <v>201</v>
      </c>
      <c r="G9" s="52">
        <v>-86</v>
      </c>
      <c r="H9" s="47"/>
    </row>
    <row r="10" spans="1:10" ht="32.25" customHeight="1">
      <c r="A10" s="47">
        <v>661393787</v>
      </c>
      <c r="B10" s="47">
        <v>660000994</v>
      </c>
      <c r="C10" s="53">
        <v>20</v>
      </c>
      <c r="D10" s="48">
        <v>46214</v>
      </c>
      <c r="E10" s="50" t="s">
        <v>198</v>
      </c>
      <c r="F10" s="51" t="s">
        <v>199</v>
      </c>
      <c r="G10" s="52">
        <v>-87</v>
      </c>
      <c r="H10" s="47"/>
    </row>
    <row r="11" spans="1:10" ht="18" customHeight="1">
      <c r="A11" s="47">
        <v>661393787</v>
      </c>
      <c r="B11" s="47">
        <v>667610016</v>
      </c>
      <c r="C11" s="53">
        <v>10</v>
      </c>
      <c r="D11" s="48">
        <v>46214</v>
      </c>
      <c r="E11" s="50" t="s">
        <v>196</v>
      </c>
      <c r="F11" s="51" t="s">
        <v>197</v>
      </c>
      <c r="G11" s="52">
        <v>-112</v>
      </c>
      <c r="H11" s="47"/>
    </row>
    <row r="12" spans="1:10" ht="75" customHeight="1">
      <c r="A12" s="47">
        <v>661393787</v>
      </c>
      <c r="B12" s="47">
        <v>661851126</v>
      </c>
      <c r="C12" s="53">
        <v>10</v>
      </c>
      <c r="D12" s="48">
        <v>46215</v>
      </c>
      <c r="E12" s="50" t="s">
        <v>191</v>
      </c>
      <c r="F12" s="51" t="s">
        <v>192</v>
      </c>
      <c r="G12" s="52">
        <v>-88</v>
      </c>
      <c r="H12" s="47"/>
    </row>
    <row r="13" spans="1:10" ht="89.25" customHeight="1">
      <c r="A13" s="47">
        <v>661393787</v>
      </c>
      <c r="B13" s="47">
        <v>661521152</v>
      </c>
      <c r="C13" s="53">
        <v>36</v>
      </c>
      <c r="D13" s="48">
        <v>46215</v>
      </c>
      <c r="E13" s="50" t="s">
        <v>193</v>
      </c>
      <c r="F13" s="51" t="s">
        <v>194</v>
      </c>
      <c r="G13" s="52">
        <v>-89</v>
      </c>
      <c r="H13" s="47"/>
    </row>
    <row r="14" spans="1:10" ht="89.25" customHeight="1">
      <c r="A14" s="47">
        <v>661393787</v>
      </c>
      <c r="B14" s="47">
        <v>664000050</v>
      </c>
      <c r="C14" s="53">
        <v>4</v>
      </c>
      <c r="D14" s="48">
        <v>46215</v>
      </c>
      <c r="E14" s="50" t="s">
        <v>125</v>
      </c>
      <c r="F14" s="51" t="s">
        <v>195</v>
      </c>
      <c r="G14" s="52">
        <v>-90</v>
      </c>
      <c r="H14" s="47"/>
    </row>
    <row r="15" spans="1:10" ht="32.25" customHeight="1">
      <c r="A15" s="47">
        <v>661393787</v>
      </c>
      <c r="B15" s="47">
        <v>667755142</v>
      </c>
      <c r="C15" s="53">
        <v>1</v>
      </c>
      <c r="D15" s="48">
        <v>46215</v>
      </c>
      <c r="E15" s="50" t="s">
        <v>187</v>
      </c>
      <c r="F15" s="51" t="s">
        <v>188</v>
      </c>
      <c r="G15" s="52">
        <v>-91</v>
      </c>
      <c r="H15" s="47"/>
    </row>
    <row r="16" spans="1:10" ht="60.75" customHeight="1">
      <c r="A16" s="47">
        <v>661393787</v>
      </c>
      <c r="B16" s="47">
        <v>667714902</v>
      </c>
      <c r="C16" s="53">
        <v>1</v>
      </c>
      <c r="D16" s="48">
        <v>46215</v>
      </c>
      <c r="E16" s="50" t="s">
        <v>189</v>
      </c>
      <c r="F16" s="51" t="s">
        <v>190</v>
      </c>
      <c r="G16" s="52">
        <v>-92</v>
      </c>
      <c r="H16" s="47"/>
    </row>
    <row r="17" spans="1:8" ht="75" customHeight="1">
      <c r="A17" s="47">
        <v>661393787</v>
      </c>
      <c r="B17" s="47">
        <v>661884722</v>
      </c>
      <c r="C17" s="53">
        <v>14</v>
      </c>
      <c r="D17" s="48">
        <v>46215</v>
      </c>
      <c r="E17" s="50" t="s">
        <v>170</v>
      </c>
      <c r="F17" s="51" t="s">
        <v>171</v>
      </c>
      <c r="G17" s="52">
        <v>-93</v>
      </c>
      <c r="H17" s="47"/>
    </row>
    <row r="18" spans="1:8" ht="46.5" customHeight="1">
      <c r="A18" s="47">
        <v>661393787</v>
      </c>
      <c r="B18" s="47">
        <v>667625526</v>
      </c>
      <c r="C18" s="53">
        <v>7</v>
      </c>
      <c r="D18" s="48">
        <v>46215</v>
      </c>
      <c r="E18" s="50" t="s">
        <v>54</v>
      </c>
      <c r="F18" s="51" t="s">
        <v>172</v>
      </c>
      <c r="G18" s="52">
        <v>-94</v>
      </c>
      <c r="H18" s="47"/>
    </row>
    <row r="19" spans="1:8" ht="18" customHeight="1">
      <c r="A19" s="47">
        <v>661393787</v>
      </c>
      <c r="B19" s="47">
        <v>661708817</v>
      </c>
      <c r="C19" s="53">
        <v>8</v>
      </c>
      <c r="D19" s="48">
        <v>46215</v>
      </c>
      <c r="E19" s="50" t="s">
        <v>173</v>
      </c>
      <c r="F19" s="51" t="s">
        <v>174</v>
      </c>
      <c r="G19" s="52">
        <v>-95</v>
      </c>
      <c r="H19" s="47"/>
    </row>
    <row r="20" spans="1:8" ht="18" customHeight="1">
      <c r="A20" s="47">
        <v>661393787</v>
      </c>
      <c r="B20" s="47">
        <v>667377998</v>
      </c>
      <c r="C20" s="53">
        <v>15</v>
      </c>
      <c r="D20" s="48">
        <v>46215</v>
      </c>
      <c r="E20" s="50" t="s">
        <v>175</v>
      </c>
      <c r="F20" s="51" t="s">
        <v>176</v>
      </c>
      <c r="G20" s="52">
        <v>-96</v>
      </c>
      <c r="H20" s="47"/>
    </row>
    <row r="21" spans="1:8" ht="46.5" customHeight="1">
      <c r="A21" s="47">
        <v>661393787</v>
      </c>
      <c r="B21" s="47">
        <v>667200554</v>
      </c>
      <c r="C21" s="53">
        <v>20</v>
      </c>
      <c r="D21" s="48">
        <v>46215</v>
      </c>
      <c r="E21" s="50" t="s">
        <v>177</v>
      </c>
      <c r="F21" s="51" t="s">
        <v>178</v>
      </c>
      <c r="G21" s="52">
        <v>-97</v>
      </c>
      <c r="H21" s="47"/>
    </row>
    <row r="22" spans="1:8" ht="117.75" customHeight="1">
      <c r="A22" s="47">
        <v>661393787</v>
      </c>
      <c r="B22" s="47">
        <v>661282800</v>
      </c>
      <c r="C22" s="53">
        <v>20</v>
      </c>
      <c r="D22" s="48">
        <v>46215</v>
      </c>
      <c r="E22" s="50" t="s">
        <v>179</v>
      </c>
      <c r="F22" s="51" t="s">
        <v>180</v>
      </c>
      <c r="G22" s="52">
        <v>-98</v>
      </c>
      <c r="H22" s="47"/>
    </row>
    <row r="23" spans="1:8" ht="46.5" customHeight="1">
      <c r="A23" s="47">
        <v>661393787</v>
      </c>
      <c r="B23" s="47">
        <v>667731231</v>
      </c>
      <c r="C23" s="53">
        <v>25</v>
      </c>
      <c r="D23" s="48">
        <v>46215</v>
      </c>
      <c r="E23" s="50" t="s">
        <v>181</v>
      </c>
      <c r="F23" s="51" t="s">
        <v>182</v>
      </c>
      <c r="G23" s="52">
        <v>-99</v>
      </c>
      <c r="H23" s="47"/>
    </row>
    <row r="24" spans="1:8" ht="32.25" customHeight="1">
      <c r="A24" s="47">
        <v>661393787</v>
      </c>
      <c r="B24" s="47">
        <v>667252026</v>
      </c>
      <c r="C24" s="53">
        <v>11.9</v>
      </c>
      <c r="D24" s="48">
        <v>46215</v>
      </c>
      <c r="E24" s="50" t="s">
        <v>183</v>
      </c>
      <c r="F24" s="51" t="s">
        <v>184</v>
      </c>
      <c r="G24" s="52">
        <v>-100</v>
      </c>
      <c r="H24" s="47"/>
    </row>
    <row r="25" spans="1:8" ht="14.25" customHeight="1">
      <c r="A25" s="47">
        <v>661393787</v>
      </c>
      <c r="B25" s="47">
        <v>657173644</v>
      </c>
      <c r="C25" s="53">
        <v>20.6</v>
      </c>
      <c r="D25" s="48">
        <v>46215</v>
      </c>
      <c r="E25" s="50" t="s">
        <v>185</v>
      </c>
      <c r="F25" s="51" t="s">
        <v>186</v>
      </c>
      <c r="G25" s="52">
        <v>-101</v>
      </c>
      <c r="H25" s="47"/>
    </row>
    <row r="26" spans="1:8" ht="46.5" customHeight="1">
      <c r="A26" s="47">
        <v>661393787</v>
      </c>
      <c r="B26" s="47">
        <v>661596850</v>
      </c>
      <c r="C26" s="53">
        <v>40</v>
      </c>
      <c r="D26" s="48">
        <v>46215</v>
      </c>
      <c r="E26" s="50" t="s">
        <v>168</v>
      </c>
      <c r="F26" s="51" t="s">
        <v>169</v>
      </c>
      <c r="G26" s="52">
        <v>-102</v>
      </c>
      <c r="H26" s="47"/>
    </row>
    <row r="27" spans="1:8" ht="60.75" customHeight="1">
      <c r="A27" s="47">
        <v>661393787</v>
      </c>
      <c r="B27" s="47">
        <v>660000136</v>
      </c>
      <c r="C27" s="53">
        <v>5</v>
      </c>
      <c r="D27" s="48">
        <v>46215</v>
      </c>
      <c r="E27" s="50" t="s">
        <v>163</v>
      </c>
      <c r="F27" s="51" t="s">
        <v>164</v>
      </c>
      <c r="G27" s="52">
        <v>-103</v>
      </c>
      <c r="H27" s="47"/>
    </row>
    <row r="28" spans="1:8" ht="46.5" customHeight="1">
      <c r="A28" s="47">
        <v>661393787</v>
      </c>
      <c r="B28" s="47">
        <v>667707368</v>
      </c>
      <c r="C28" s="53">
        <v>2</v>
      </c>
      <c r="D28" s="48">
        <v>46215</v>
      </c>
      <c r="E28" s="50" t="s">
        <v>165</v>
      </c>
      <c r="F28" s="51" t="s">
        <v>166</v>
      </c>
      <c r="G28" s="52">
        <v>-104</v>
      </c>
      <c r="H28" s="47"/>
    </row>
    <row r="29" spans="1:8" ht="103.5" customHeight="1">
      <c r="A29" s="47">
        <v>661393787</v>
      </c>
      <c r="B29" s="47">
        <v>661708372</v>
      </c>
      <c r="C29" s="53">
        <v>28.5</v>
      </c>
      <c r="D29" s="48">
        <v>46215</v>
      </c>
      <c r="E29" s="50" t="s">
        <v>139</v>
      </c>
      <c r="F29" s="51" t="s">
        <v>167</v>
      </c>
      <c r="G29" s="52">
        <v>-105</v>
      </c>
      <c r="H29" s="47"/>
    </row>
    <row r="30" spans="1:8" ht="18" customHeight="1">
      <c r="A30" s="47">
        <v>661393787</v>
      </c>
      <c r="B30" s="47">
        <v>667785895</v>
      </c>
      <c r="C30" s="53">
        <v>18</v>
      </c>
      <c r="D30" s="48">
        <v>46216</v>
      </c>
      <c r="E30" s="50" t="s">
        <v>145</v>
      </c>
      <c r="F30" s="51" t="s">
        <v>154</v>
      </c>
      <c r="G30" s="52">
        <v>-106</v>
      </c>
      <c r="H30" s="47"/>
    </row>
    <row r="31" spans="1:8" ht="46.5" customHeight="1">
      <c r="A31" s="47">
        <v>661393787</v>
      </c>
      <c r="B31" s="47">
        <v>667340169</v>
      </c>
      <c r="C31" s="53">
        <v>7</v>
      </c>
      <c r="D31" s="48">
        <v>46216</v>
      </c>
      <c r="E31" s="50" t="s">
        <v>147</v>
      </c>
      <c r="F31" s="51" t="s">
        <v>148</v>
      </c>
      <c r="G31" s="52">
        <v>-107</v>
      </c>
      <c r="H31" s="47"/>
    </row>
    <row r="32" spans="1:8" ht="32.25" customHeight="1">
      <c r="A32" s="47">
        <v>661393787</v>
      </c>
      <c r="B32" s="47">
        <v>661898828</v>
      </c>
      <c r="C32" s="53">
        <v>30</v>
      </c>
      <c r="D32" s="48">
        <v>46216</v>
      </c>
      <c r="E32" s="50" t="s">
        <v>149</v>
      </c>
      <c r="F32" s="51" t="s">
        <v>150</v>
      </c>
      <c r="G32" s="52">
        <v>-108</v>
      </c>
      <c r="H32" s="47"/>
    </row>
    <row r="33" spans="1:8" ht="18" customHeight="1">
      <c r="A33" s="47">
        <v>661393787</v>
      </c>
      <c r="B33" s="47">
        <v>667788115</v>
      </c>
      <c r="C33" s="53">
        <v>20</v>
      </c>
      <c r="D33" s="48">
        <v>46216</v>
      </c>
      <c r="E33" s="50" t="s">
        <v>151</v>
      </c>
      <c r="F33" s="51" t="s">
        <v>152</v>
      </c>
      <c r="G33" s="52">
        <v>-109</v>
      </c>
      <c r="H33" s="47"/>
    </row>
    <row r="34" spans="1:8" ht="60.75" customHeight="1">
      <c r="A34" s="47">
        <v>661393787</v>
      </c>
      <c r="B34" s="47">
        <v>661728956</v>
      </c>
      <c r="C34" s="53">
        <v>36</v>
      </c>
      <c r="D34" s="48">
        <v>46216</v>
      </c>
      <c r="E34" s="50" t="s">
        <v>108</v>
      </c>
      <c r="F34" s="51" t="s">
        <v>153</v>
      </c>
      <c r="G34" s="52">
        <v>-110</v>
      </c>
      <c r="H34" s="47"/>
    </row>
    <row r="35" spans="1:8" ht="60.75" customHeight="1">
      <c r="A35" s="47">
        <v>661393787</v>
      </c>
      <c r="B35" s="47">
        <v>667951081</v>
      </c>
      <c r="C35" s="53">
        <v>3</v>
      </c>
      <c r="D35" s="48">
        <v>46216</v>
      </c>
      <c r="E35" s="50" t="s">
        <v>155</v>
      </c>
      <c r="F35" s="51" t="s">
        <v>156</v>
      </c>
      <c r="G35" s="52">
        <v>-111</v>
      </c>
      <c r="H35" s="47"/>
    </row>
    <row r="36" spans="1:8" ht="60.75" customHeight="1">
      <c r="A36" s="47">
        <v>661393787</v>
      </c>
      <c r="B36" s="47">
        <v>660000088</v>
      </c>
      <c r="C36" s="53">
        <v>16</v>
      </c>
      <c r="D36" s="48">
        <v>46216</v>
      </c>
      <c r="E36" s="50" t="s">
        <v>161</v>
      </c>
      <c r="F36" s="51" t="s">
        <v>162</v>
      </c>
      <c r="G36" s="52">
        <v>-112</v>
      </c>
      <c r="H36" s="47"/>
    </row>
    <row r="37" spans="1:8" ht="18" customHeight="1">
      <c r="A37" s="47">
        <v>661393787</v>
      </c>
      <c r="B37" s="47">
        <v>667370012</v>
      </c>
      <c r="C37" s="53">
        <v>10</v>
      </c>
      <c r="D37" s="48">
        <v>46216</v>
      </c>
      <c r="E37" s="50" t="s">
        <v>157</v>
      </c>
      <c r="F37" s="51" t="s">
        <v>158</v>
      </c>
      <c r="G37" s="52">
        <v>-113</v>
      </c>
      <c r="H37" s="47"/>
    </row>
    <row r="38" spans="1:8" ht="32.25" customHeight="1">
      <c r="A38" s="47">
        <v>661393787</v>
      </c>
      <c r="B38" s="47">
        <v>661691808</v>
      </c>
      <c r="C38" s="53">
        <v>11</v>
      </c>
      <c r="D38" s="48">
        <v>46216</v>
      </c>
      <c r="E38" s="50" t="s">
        <v>159</v>
      </c>
      <c r="F38" s="51" t="s">
        <v>160</v>
      </c>
      <c r="G38" s="52">
        <v>-114</v>
      </c>
      <c r="H38" s="47"/>
    </row>
    <row r="39" spans="1:8" ht="89.25" customHeight="1">
      <c r="A39" s="47">
        <v>661393787</v>
      </c>
      <c r="B39" s="47">
        <v>667755300</v>
      </c>
      <c r="C39" s="53">
        <v>16</v>
      </c>
      <c r="D39" s="48">
        <v>46216</v>
      </c>
      <c r="E39" s="50" t="s">
        <v>143</v>
      </c>
      <c r="F39" s="51" t="s">
        <v>144</v>
      </c>
      <c r="G39" s="52">
        <v>-115</v>
      </c>
      <c r="H39" s="47"/>
    </row>
    <row r="40" spans="1:8" ht="18" customHeight="1">
      <c r="A40" s="47">
        <v>661393787</v>
      </c>
      <c r="B40" s="47">
        <v>667785895</v>
      </c>
      <c r="C40" s="53">
        <v>12</v>
      </c>
      <c r="D40" s="48">
        <v>46216</v>
      </c>
      <c r="E40" s="50" t="s">
        <v>145</v>
      </c>
      <c r="F40" s="51" t="s">
        <v>146</v>
      </c>
      <c r="G40" s="52">
        <v>-116</v>
      </c>
      <c r="H40" s="47"/>
    </row>
    <row r="41" spans="1:8" ht="46.5" customHeight="1">
      <c r="A41" s="47">
        <v>661393787</v>
      </c>
      <c r="B41" s="47">
        <v>661708372</v>
      </c>
      <c r="C41" s="53">
        <v>33.5</v>
      </c>
      <c r="D41" s="48">
        <v>46217</v>
      </c>
      <c r="E41" s="50" t="s">
        <v>139</v>
      </c>
      <c r="F41" s="51" t="s">
        <v>140</v>
      </c>
      <c r="G41" s="52">
        <v>-117</v>
      </c>
      <c r="H41" s="47"/>
    </row>
    <row r="42" spans="1:8" ht="89.25" customHeight="1">
      <c r="A42" s="47">
        <v>661393787</v>
      </c>
      <c r="B42" s="47">
        <v>667799023</v>
      </c>
      <c r="C42" s="53">
        <v>6</v>
      </c>
      <c r="D42" s="48">
        <v>46217</v>
      </c>
      <c r="E42" s="50" t="s">
        <v>141</v>
      </c>
      <c r="F42" s="51" t="s">
        <v>142</v>
      </c>
      <c r="G42" s="52">
        <v>-117</v>
      </c>
      <c r="H42" s="47"/>
    </row>
    <row r="43" spans="1:8" ht="75" customHeight="1">
      <c r="A43" s="47">
        <v>661393787</v>
      </c>
      <c r="B43" s="47">
        <v>667791421</v>
      </c>
      <c r="C43" s="53">
        <v>15</v>
      </c>
      <c r="D43" s="48">
        <v>46217</v>
      </c>
      <c r="E43" s="50" t="s">
        <v>135</v>
      </c>
      <c r="F43" s="51" t="s">
        <v>136</v>
      </c>
      <c r="G43" s="52">
        <v>-118</v>
      </c>
      <c r="H43" s="47"/>
    </row>
    <row r="44" spans="1:8" ht="60.75" customHeight="1">
      <c r="A44" s="47">
        <v>661393787</v>
      </c>
      <c r="B44" s="47">
        <v>661228237</v>
      </c>
      <c r="C44" s="53">
        <v>7.5</v>
      </c>
      <c r="D44" s="48">
        <v>46217</v>
      </c>
      <c r="E44" s="50" t="s">
        <v>137</v>
      </c>
      <c r="F44" s="51" t="s">
        <v>138</v>
      </c>
      <c r="G44" s="52">
        <v>-118</v>
      </c>
      <c r="H44" s="47"/>
    </row>
    <row r="45" spans="1:8" ht="18" customHeight="1">
      <c r="A45" s="47">
        <v>661393787</v>
      </c>
      <c r="B45" s="47">
        <v>661374661</v>
      </c>
      <c r="C45" s="53">
        <v>26</v>
      </c>
      <c r="D45" s="48">
        <v>46217</v>
      </c>
      <c r="E45" s="50" t="s">
        <v>133</v>
      </c>
      <c r="F45" s="51" t="s">
        <v>134</v>
      </c>
      <c r="G45" s="52">
        <v>-119</v>
      </c>
      <c r="H45" s="47"/>
    </row>
    <row r="46" spans="1:8" ht="46.5" customHeight="1">
      <c r="A46" s="47">
        <v>661393787</v>
      </c>
      <c r="B46" s="47">
        <v>667906501</v>
      </c>
      <c r="C46" s="53">
        <v>15</v>
      </c>
      <c r="D46" s="48">
        <v>46217</v>
      </c>
      <c r="E46" s="50" t="s">
        <v>127</v>
      </c>
      <c r="F46" s="51" t="s">
        <v>128</v>
      </c>
      <c r="G46" s="52">
        <v>-120</v>
      </c>
      <c r="H46" s="47"/>
    </row>
    <row r="47" spans="1:8" ht="18" customHeight="1">
      <c r="A47" s="47">
        <v>661393787</v>
      </c>
      <c r="B47" s="47">
        <v>665357007</v>
      </c>
      <c r="C47" s="53">
        <v>15</v>
      </c>
      <c r="D47" s="48">
        <v>46217</v>
      </c>
      <c r="E47" s="50" t="s">
        <v>129</v>
      </c>
      <c r="F47" s="51" t="s">
        <v>130</v>
      </c>
      <c r="G47" s="52">
        <v>-121</v>
      </c>
      <c r="H47" s="47"/>
    </row>
    <row r="48" spans="1:8" ht="18" customHeight="1">
      <c r="A48" s="47">
        <v>661393787</v>
      </c>
      <c r="B48" s="47">
        <v>665357007</v>
      </c>
      <c r="C48" s="53">
        <v>5</v>
      </c>
      <c r="D48" s="48">
        <v>46217</v>
      </c>
      <c r="E48" s="50" t="s">
        <v>129</v>
      </c>
      <c r="F48" s="51" t="s">
        <v>130</v>
      </c>
      <c r="G48" s="52">
        <v>-122</v>
      </c>
      <c r="H48" s="47"/>
    </row>
    <row r="49" spans="1:8" ht="103.5" customHeight="1">
      <c r="A49" s="47">
        <v>661393787</v>
      </c>
      <c r="B49" s="47">
        <v>661310746</v>
      </c>
      <c r="C49" s="53">
        <v>15</v>
      </c>
      <c r="D49" s="48">
        <v>46217</v>
      </c>
      <c r="E49" s="50" t="s">
        <v>131</v>
      </c>
      <c r="F49" s="51" t="s">
        <v>132</v>
      </c>
      <c r="G49" s="52">
        <v>-123</v>
      </c>
      <c r="H49" s="47"/>
    </row>
    <row r="50" spans="1:8" ht="117.75" customHeight="1">
      <c r="A50" s="47">
        <v>661393787</v>
      </c>
      <c r="B50" s="47">
        <v>664000050</v>
      </c>
      <c r="C50" s="53">
        <v>10</v>
      </c>
      <c r="D50" s="48">
        <v>46217</v>
      </c>
      <c r="E50" s="50" t="s">
        <v>125</v>
      </c>
      <c r="F50" s="51" t="s">
        <v>126</v>
      </c>
      <c r="G50" s="52">
        <v>-124</v>
      </c>
      <c r="H50" s="47"/>
    </row>
    <row r="51" spans="1:8" ht="32.25" customHeight="1">
      <c r="A51" s="47">
        <v>661393787</v>
      </c>
      <c r="B51" s="47">
        <v>661506412</v>
      </c>
      <c r="C51" s="53">
        <v>11.2</v>
      </c>
      <c r="D51" s="48">
        <v>46218</v>
      </c>
      <c r="E51" s="50" t="s">
        <v>46</v>
      </c>
      <c r="F51" s="51" t="s">
        <v>114</v>
      </c>
      <c r="G51" s="52">
        <v>-125</v>
      </c>
      <c r="H51" s="47"/>
    </row>
    <row r="52" spans="1:8" ht="60.75" customHeight="1">
      <c r="A52" s="47">
        <v>661393787</v>
      </c>
      <c r="B52" s="47">
        <v>667689997</v>
      </c>
      <c r="C52" s="53">
        <v>15</v>
      </c>
      <c r="D52" s="48">
        <v>46218</v>
      </c>
      <c r="E52" s="50" t="s">
        <v>115</v>
      </c>
      <c r="F52" s="51" t="s">
        <v>116</v>
      </c>
      <c r="G52" s="52">
        <v>-126</v>
      </c>
      <c r="H52" s="47"/>
    </row>
    <row r="53" spans="1:8" ht="89.25" customHeight="1">
      <c r="A53" s="47">
        <v>661393787</v>
      </c>
      <c r="B53" s="47">
        <v>665317373</v>
      </c>
      <c r="C53" s="53">
        <v>20</v>
      </c>
      <c r="D53" s="48">
        <v>46218</v>
      </c>
      <c r="E53" s="50" t="s">
        <v>117</v>
      </c>
      <c r="F53" s="51" t="s">
        <v>118</v>
      </c>
      <c r="G53" s="52">
        <v>-127</v>
      </c>
      <c r="H53" s="47"/>
    </row>
    <row r="54" spans="1:8" ht="46.5" customHeight="1">
      <c r="A54" s="47">
        <v>661393787</v>
      </c>
      <c r="B54" s="47">
        <v>661696565</v>
      </c>
      <c r="C54" s="53">
        <v>29</v>
      </c>
      <c r="D54" s="48">
        <v>46218</v>
      </c>
      <c r="E54" s="50" t="s">
        <v>119</v>
      </c>
      <c r="F54" s="51" t="s">
        <v>120</v>
      </c>
      <c r="G54" s="52">
        <v>-128</v>
      </c>
      <c r="H54" s="47"/>
    </row>
    <row r="55" spans="1:8" ht="32.25" customHeight="1">
      <c r="A55" s="47">
        <v>661393787</v>
      </c>
      <c r="B55" s="47">
        <v>659719391</v>
      </c>
      <c r="C55" s="53">
        <v>24</v>
      </c>
      <c r="D55" s="48">
        <v>46218</v>
      </c>
      <c r="E55" s="50" t="s">
        <v>123</v>
      </c>
      <c r="F55" s="51" t="s">
        <v>124</v>
      </c>
      <c r="G55" s="52">
        <v>-130</v>
      </c>
      <c r="H55" s="47"/>
    </row>
    <row r="56" spans="1:8" ht="18" customHeight="1">
      <c r="A56" s="47">
        <v>661393787</v>
      </c>
      <c r="B56" s="47">
        <v>661794086</v>
      </c>
      <c r="C56" s="53">
        <v>24</v>
      </c>
      <c r="D56" s="48">
        <v>46218</v>
      </c>
      <c r="E56" s="50" t="s">
        <v>121</v>
      </c>
      <c r="F56" s="51" t="s">
        <v>122</v>
      </c>
      <c r="G56" s="52">
        <v>-131</v>
      </c>
      <c r="H56" s="47"/>
    </row>
    <row r="57" spans="1:8" ht="18" customHeight="1">
      <c r="A57" s="47">
        <v>661393787</v>
      </c>
      <c r="B57" s="47">
        <v>661728956</v>
      </c>
      <c r="C57" s="53">
        <v>10</v>
      </c>
      <c r="D57" s="48">
        <v>46218</v>
      </c>
      <c r="E57" s="50" t="s">
        <v>108</v>
      </c>
      <c r="F57" s="51" t="s">
        <v>109</v>
      </c>
      <c r="G57" s="52">
        <v>-132</v>
      </c>
      <c r="H57" s="47"/>
    </row>
    <row r="58" spans="1:8" ht="75" customHeight="1">
      <c r="A58" s="47">
        <v>661393787</v>
      </c>
      <c r="B58" s="47">
        <v>667737809</v>
      </c>
      <c r="C58" s="53">
        <v>4</v>
      </c>
      <c r="D58" s="48">
        <v>46218</v>
      </c>
      <c r="E58" s="50" t="s">
        <v>110</v>
      </c>
      <c r="F58" s="51" t="s">
        <v>111</v>
      </c>
      <c r="G58" s="52">
        <v>-133</v>
      </c>
      <c r="H58" s="47"/>
    </row>
    <row r="59" spans="1:8" ht="32.25" customHeight="1">
      <c r="A59" s="47">
        <v>661393787</v>
      </c>
      <c r="B59" s="47">
        <v>667736840</v>
      </c>
      <c r="C59" s="53">
        <v>10</v>
      </c>
      <c r="D59" s="48">
        <v>46218</v>
      </c>
      <c r="E59" s="50" t="s">
        <v>112</v>
      </c>
      <c r="F59" s="51" t="s">
        <v>113</v>
      </c>
      <c r="G59" s="52">
        <v>-134</v>
      </c>
      <c r="H59" s="47"/>
    </row>
    <row r="60" spans="1:8" ht="60.75" customHeight="1">
      <c r="A60" s="47">
        <v>661393787</v>
      </c>
      <c r="B60" s="47">
        <v>667799343</v>
      </c>
      <c r="C60" s="53">
        <v>35</v>
      </c>
      <c r="D60" s="48">
        <v>46218</v>
      </c>
      <c r="E60" s="50" t="s">
        <v>98</v>
      </c>
      <c r="F60" s="51" t="s">
        <v>99</v>
      </c>
      <c r="G60" s="52">
        <v>-135</v>
      </c>
      <c r="H60" s="47"/>
    </row>
    <row r="61" spans="1:8" ht="18" customHeight="1">
      <c r="A61" s="47">
        <v>661393787</v>
      </c>
      <c r="B61" s="47">
        <v>667638285</v>
      </c>
      <c r="C61" s="53">
        <v>5</v>
      </c>
      <c r="D61" s="48">
        <v>46218</v>
      </c>
      <c r="E61" s="50" t="s">
        <v>100</v>
      </c>
      <c r="F61" s="51" t="s">
        <v>101</v>
      </c>
      <c r="G61" s="52">
        <v>-136</v>
      </c>
      <c r="H61" s="47"/>
    </row>
    <row r="62" spans="1:8" ht="18" customHeight="1">
      <c r="A62" s="47">
        <v>661393787</v>
      </c>
      <c r="B62" s="47">
        <v>665689269</v>
      </c>
      <c r="C62" s="53">
        <v>40</v>
      </c>
      <c r="D62" s="48">
        <v>46218</v>
      </c>
      <c r="E62" s="50" t="s">
        <v>102</v>
      </c>
      <c r="F62" s="51" t="s">
        <v>103</v>
      </c>
      <c r="G62" s="52">
        <v>-137</v>
      </c>
      <c r="H62" s="47"/>
    </row>
    <row r="63" spans="1:8" ht="18" customHeight="1">
      <c r="A63" s="47">
        <v>661393787</v>
      </c>
      <c r="B63" s="47">
        <v>661310131</v>
      </c>
      <c r="C63" s="53">
        <v>30</v>
      </c>
      <c r="D63" s="48">
        <v>46218</v>
      </c>
      <c r="E63" s="50" t="s">
        <v>106</v>
      </c>
      <c r="F63" s="51" t="s">
        <v>107</v>
      </c>
      <c r="G63" s="52">
        <v>-138</v>
      </c>
      <c r="H63" s="47"/>
    </row>
    <row r="64" spans="1:8" ht="18" customHeight="1">
      <c r="A64" s="47">
        <v>661393787</v>
      </c>
      <c r="B64" s="47">
        <v>661227221</v>
      </c>
      <c r="C64" s="53">
        <v>40</v>
      </c>
      <c r="D64" s="48">
        <v>46218</v>
      </c>
      <c r="E64" s="50" t="s">
        <v>104</v>
      </c>
      <c r="F64" s="51" t="s">
        <v>105</v>
      </c>
      <c r="G64" s="52">
        <v>-139</v>
      </c>
      <c r="H64" s="47"/>
    </row>
    <row r="65" spans="1:8" ht="18" customHeight="1">
      <c r="A65" s="47">
        <v>661393787</v>
      </c>
      <c r="B65" s="47">
        <v>661218555</v>
      </c>
      <c r="C65" s="53">
        <v>3</v>
      </c>
      <c r="D65" s="48">
        <v>46219</v>
      </c>
      <c r="E65" s="50" t="s">
        <v>91</v>
      </c>
      <c r="F65" s="51" t="s">
        <v>92</v>
      </c>
      <c r="G65" s="52">
        <v>-140</v>
      </c>
      <c r="H65" s="47"/>
    </row>
    <row r="66" spans="1:8" ht="32.25" customHeight="1">
      <c r="A66" s="47">
        <v>661393787</v>
      </c>
      <c r="B66" s="47">
        <v>660000126</v>
      </c>
      <c r="C66" s="53">
        <v>37</v>
      </c>
      <c r="D66" s="48">
        <v>46219</v>
      </c>
      <c r="E66" s="50" t="s">
        <v>89</v>
      </c>
      <c r="F66" s="51" t="s">
        <v>90</v>
      </c>
      <c r="G66" s="52">
        <v>-141</v>
      </c>
      <c r="H66" s="47"/>
    </row>
    <row r="67" spans="1:8" ht="32.25" customHeight="1">
      <c r="A67" s="47">
        <v>661393787</v>
      </c>
      <c r="B67" s="47">
        <v>660000126</v>
      </c>
      <c r="C67" s="53">
        <v>27</v>
      </c>
      <c r="D67" s="48">
        <v>46219</v>
      </c>
      <c r="E67" s="50" t="s">
        <v>89</v>
      </c>
      <c r="F67" s="51" t="s">
        <v>93</v>
      </c>
      <c r="G67" s="52">
        <v>-142</v>
      </c>
      <c r="H67" s="47"/>
    </row>
    <row r="68" spans="1:8" ht="89.25" customHeight="1">
      <c r="A68" s="47">
        <v>661393787</v>
      </c>
      <c r="B68" s="47">
        <v>661310477</v>
      </c>
      <c r="C68" s="53">
        <v>5</v>
      </c>
      <c r="D68" s="48">
        <v>46219</v>
      </c>
      <c r="E68" s="50" t="s">
        <v>94</v>
      </c>
      <c r="F68" s="51" t="s">
        <v>95</v>
      </c>
      <c r="G68" s="52">
        <v>-143</v>
      </c>
      <c r="H68" s="47"/>
    </row>
    <row r="69" spans="1:8" ht="60.75" customHeight="1">
      <c r="A69" s="47">
        <v>661393787</v>
      </c>
      <c r="B69" s="47">
        <v>667725838</v>
      </c>
      <c r="C69" s="53">
        <v>4</v>
      </c>
      <c r="D69" s="48">
        <v>46219</v>
      </c>
      <c r="E69" s="50" t="s">
        <v>96</v>
      </c>
      <c r="F69" s="51" t="s">
        <v>97</v>
      </c>
      <c r="G69" s="52">
        <v>-144</v>
      </c>
      <c r="H69" s="47"/>
    </row>
    <row r="70" spans="1:8" ht="89.25" customHeight="1">
      <c r="A70" s="47">
        <v>661393787</v>
      </c>
      <c r="B70" s="47">
        <v>661520991</v>
      </c>
      <c r="C70" s="53">
        <v>27</v>
      </c>
      <c r="D70" s="48">
        <v>46219</v>
      </c>
      <c r="E70" s="50" t="s">
        <v>81</v>
      </c>
      <c r="F70" s="51" t="s">
        <v>82</v>
      </c>
      <c r="G70" s="52">
        <v>-145</v>
      </c>
      <c r="H70" s="47"/>
    </row>
    <row r="71" spans="1:8" ht="32.25" customHeight="1">
      <c r="A71" s="47">
        <v>661393787</v>
      </c>
      <c r="B71" s="47">
        <v>667772401</v>
      </c>
      <c r="C71" s="53">
        <v>20</v>
      </c>
      <c r="D71" s="48">
        <v>46219</v>
      </c>
      <c r="E71" s="50" t="s">
        <v>83</v>
      </c>
      <c r="F71" s="51" t="s">
        <v>84</v>
      </c>
      <c r="G71" s="52">
        <v>-146</v>
      </c>
      <c r="H71" s="47"/>
    </row>
    <row r="72" spans="1:8" ht="75" customHeight="1">
      <c r="A72" s="47">
        <v>661393787</v>
      </c>
      <c r="B72" s="47">
        <v>667765857</v>
      </c>
      <c r="C72" s="53">
        <v>10</v>
      </c>
      <c r="D72" s="48">
        <v>46219</v>
      </c>
      <c r="E72" s="50" t="s">
        <v>85</v>
      </c>
      <c r="F72" s="51" t="s">
        <v>86</v>
      </c>
      <c r="G72" s="52">
        <v>-147</v>
      </c>
      <c r="H72" s="47"/>
    </row>
    <row r="73" spans="1:8" ht="46.5" customHeight="1">
      <c r="A73" s="47">
        <v>661393787</v>
      </c>
      <c r="B73" s="47">
        <v>661859999</v>
      </c>
      <c r="C73" s="53">
        <v>3</v>
      </c>
      <c r="D73" s="48">
        <v>46219</v>
      </c>
      <c r="E73" s="50" t="s">
        <v>87</v>
      </c>
      <c r="F73" s="51" t="s">
        <v>88</v>
      </c>
      <c r="G73" s="52">
        <v>-148</v>
      </c>
      <c r="H73" s="47"/>
    </row>
    <row r="74" spans="1:8" ht="46.5" customHeight="1">
      <c r="A74" s="47">
        <v>661393787</v>
      </c>
      <c r="B74" s="47">
        <v>667169963</v>
      </c>
      <c r="C74" s="53">
        <v>5</v>
      </c>
      <c r="D74" s="48">
        <v>46220</v>
      </c>
      <c r="E74" s="50" t="s">
        <v>73</v>
      </c>
      <c r="F74" s="51" t="s">
        <v>74</v>
      </c>
      <c r="G74" s="52">
        <v>-149</v>
      </c>
      <c r="H74" s="47"/>
    </row>
    <row r="75" spans="1:8" ht="18" customHeight="1">
      <c r="A75" s="47">
        <v>661393787</v>
      </c>
      <c r="B75" s="47">
        <v>667769598</v>
      </c>
      <c r="C75" s="53">
        <v>2</v>
      </c>
      <c r="D75" s="48">
        <v>46220</v>
      </c>
      <c r="E75" s="50" t="s">
        <v>75</v>
      </c>
      <c r="F75" s="51" t="s">
        <v>76</v>
      </c>
      <c r="G75" s="52">
        <v>-150</v>
      </c>
      <c r="H75" s="47"/>
    </row>
    <row r="76" spans="1:8" ht="32.25" customHeight="1">
      <c r="A76" s="47">
        <v>661393787</v>
      </c>
      <c r="B76" s="47">
        <v>660000596</v>
      </c>
      <c r="C76" s="53">
        <v>10</v>
      </c>
      <c r="D76" s="48">
        <v>46220</v>
      </c>
      <c r="E76" s="50" t="s">
        <v>77</v>
      </c>
      <c r="F76" s="51" t="s">
        <v>78</v>
      </c>
      <c r="G76" s="52">
        <v>-151</v>
      </c>
      <c r="H76" s="47"/>
    </row>
    <row r="77" spans="1:8" ht="89.25" customHeight="1">
      <c r="A77" s="47">
        <v>661393787</v>
      </c>
      <c r="B77" s="47">
        <v>667555917</v>
      </c>
      <c r="C77" s="53">
        <v>6</v>
      </c>
      <c r="D77" s="48">
        <v>46220</v>
      </c>
      <c r="E77" s="50" t="s">
        <v>79</v>
      </c>
      <c r="F77" s="51" t="s">
        <v>80</v>
      </c>
      <c r="G77" s="52">
        <v>-152</v>
      </c>
      <c r="H77" s="47"/>
    </row>
    <row r="78" spans="1:8" ht="89.25" customHeight="1">
      <c r="A78" s="47">
        <v>661393787</v>
      </c>
      <c r="B78" s="47">
        <v>664433433</v>
      </c>
      <c r="C78" s="53">
        <v>13</v>
      </c>
      <c r="D78" s="48">
        <v>46221</v>
      </c>
      <c r="E78" s="50" t="s">
        <v>62</v>
      </c>
      <c r="F78" s="51" t="s">
        <v>63</v>
      </c>
      <c r="G78" s="52">
        <v>-153</v>
      </c>
      <c r="H78" s="47"/>
    </row>
    <row r="79" spans="1:8" ht="18" customHeight="1">
      <c r="A79" s="47">
        <v>661393787</v>
      </c>
      <c r="B79" s="47">
        <v>669999961</v>
      </c>
      <c r="C79" s="53">
        <v>5</v>
      </c>
      <c r="D79" s="48">
        <v>46221</v>
      </c>
      <c r="E79" s="50" t="s">
        <v>60</v>
      </c>
      <c r="F79" s="51" t="s">
        <v>61</v>
      </c>
      <c r="G79" s="52">
        <v>-154</v>
      </c>
      <c r="H79" s="47"/>
    </row>
    <row r="80" spans="1:8" ht="32.25" customHeight="1">
      <c r="A80" s="47">
        <v>661393787</v>
      </c>
      <c r="B80" s="47">
        <v>661708016</v>
      </c>
      <c r="C80" s="53">
        <v>50</v>
      </c>
      <c r="D80" s="48">
        <v>46221</v>
      </c>
      <c r="E80" s="50" t="s">
        <v>64</v>
      </c>
      <c r="F80" s="51" t="s">
        <v>65</v>
      </c>
      <c r="G80" s="52">
        <v>-155</v>
      </c>
      <c r="H80" s="47"/>
    </row>
    <row r="81" spans="1:8" ht="46.5" customHeight="1">
      <c r="A81" s="47">
        <v>661393787</v>
      </c>
      <c r="B81" s="47">
        <v>661708016</v>
      </c>
      <c r="C81" s="53">
        <v>10</v>
      </c>
      <c r="D81" s="48">
        <v>46221</v>
      </c>
      <c r="E81" s="50" t="s">
        <v>64</v>
      </c>
      <c r="F81" s="51" t="s">
        <v>66</v>
      </c>
      <c r="G81" s="52">
        <v>-156</v>
      </c>
      <c r="H81" s="47"/>
    </row>
    <row r="82" spans="1:8" ht="75" customHeight="1">
      <c r="A82" s="47">
        <v>661393787</v>
      </c>
      <c r="B82" s="47">
        <v>666585734</v>
      </c>
      <c r="C82" s="53">
        <v>4</v>
      </c>
      <c r="D82" s="48">
        <v>46221</v>
      </c>
      <c r="E82" s="50" t="s">
        <v>67</v>
      </c>
      <c r="F82" s="51" t="s">
        <v>68</v>
      </c>
      <c r="G82" s="52">
        <v>-157</v>
      </c>
      <c r="H82" s="47"/>
    </row>
    <row r="83" spans="1:8" ht="18" customHeight="1">
      <c r="A83" s="47">
        <v>661393787</v>
      </c>
      <c r="B83" s="47">
        <v>661391471</v>
      </c>
      <c r="C83" s="53">
        <v>2</v>
      </c>
      <c r="D83" s="48">
        <v>46221</v>
      </c>
      <c r="E83" s="50" t="s">
        <v>69</v>
      </c>
      <c r="F83" s="51" t="s">
        <v>70</v>
      </c>
      <c r="G83" s="52">
        <v>-158</v>
      </c>
      <c r="H83" s="47"/>
    </row>
    <row r="84" spans="1:8" ht="18" customHeight="1">
      <c r="A84" s="47">
        <v>661393787</v>
      </c>
      <c r="B84" s="47">
        <v>661458061</v>
      </c>
      <c r="C84" s="53">
        <v>16</v>
      </c>
      <c r="D84" s="48">
        <v>46221</v>
      </c>
      <c r="E84" s="50" t="s">
        <v>71</v>
      </c>
      <c r="F84" s="51" t="s">
        <v>72</v>
      </c>
      <c r="G84" s="52">
        <v>-159</v>
      </c>
      <c r="H84" s="47"/>
    </row>
    <row r="85" spans="1:8" ht="32.25" customHeight="1">
      <c r="A85" s="47">
        <v>661393787</v>
      </c>
      <c r="B85" s="47">
        <v>661421442</v>
      </c>
      <c r="C85" s="53">
        <v>19</v>
      </c>
      <c r="D85" s="48">
        <v>46221</v>
      </c>
      <c r="E85" s="50" t="s">
        <v>56</v>
      </c>
      <c r="F85" s="51" t="s">
        <v>57</v>
      </c>
      <c r="G85" s="52">
        <v>-160</v>
      </c>
      <c r="H85" s="47"/>
    </row>
    <row r="86" spans="1:8" ht="60.75" customHeight="1">
      <c r="A86" s="47">
        <v>661393787</v>
      </c>
      <c r="B86" s="47">
        <v>667752981</v>
      </c>
      <c r="C86" s="53">
        <v>25</v>
      </c>
      <c r="D86" s="48">
        <v>46221</v>
      </c>
      <c r="E86" s="50" t="s">
        <v>58</v>
      </c>
      <c r="F86" s="51" t="s">
        <v>59</v>
      </c>
      <c r="G86" s="52">
        <v>-161</v>
      </c>
      <c r="H86" s="47"/>
    </row>
    <row r="87" spans="1:8" ht="32.25" customHeight="1">
      <c r="A87" s="47">
        <v>661393787</v>
      </c>
      <c r="B87" s="47">
        <v>667625526</v>
      </c>
      <c r="C87" s="53">
        <v>45</v>
      </c>
      <c r="D87" s="48">
        <v>46221</v>
      </c>
      <c r="E87" s="50" t="s">
        <v>54</v>
      </c>
      <c r="F87" s="51" t="s">
        <v>55</v>
      </c>
      <c r="G87" s="52">
        <v>-162</v>
      </c>
      <c r="H87" s="47"/>
    </row>
    <row r="88" spans="1:8" ht="18" customHeight="1">
      <c r="A88" s="47">
        <v>661393787</v>
      </c>
      <c r="B88" s="47">
        <v>665555506</v>
      </c>
      <c r="C88" s="53">
        <v>18</v>
      </c>
      <c r="D88" s="48">
        <v>46222</v>
      </c>
      <c r="E88" s="50" t="s">
        <v>44</v>
      </c>
      <c r="F88" s="51" t="s">
        <v>45</v>
      </c>
      <c r="G88" s="52">
        <v>-163</v>
      </c>
      <c r="H88" s="47"/>
    </row>
    <row r="89" spans="1:8" ht="60.75" customHeight="1">
      <c r="A89" s="47">
        <v>661393787</v>
      </c>
      <c r="B89" s="47">
        <v>661506412</v>
      </c>
      <c r="C89" s="53">
        <v>13</v>
      </c>
      <c r="D89" s="48">
        <v>46222</v>
      </c>
      <c r="E89" s="50" t="s">
        <v>46</v>
      </c>
      <c r="F89" s="51" t="s">
        <v>47</v>
      </c>
      <c r="G89" s="52">
        <v>-164</v>
      </c>
      <c r="H89" s="47"/>
    </row>
    <row r="90" spans="1:8" ht="14.25" customHeight="1">
      <c r="A90" s="47">
        <v>661393787</v>
      </c>
      <c r="B90" s="47">
        <v>661729083</v>
      </c>
      <c r="C90" s="53">
        <v>30</v>
      </c>
      <c r="D90" s="48">
        <v>46222</v>
      </c>
      <c r="E90" s="50" t="s">
        <v>48</v>
      </c>
      <c r="F90" s="51" t="s">
        <v>49</v>
      </c>
      <c r="G90" s="52">
        <v>-165</v>
      </c>
      <c r="H90" s="47"/>
    </row>
    <row r="91" spans="1:8" ht="60.75" customHeight="1">
      <c r="A91" s="47">
        <v>661393787</v>
      </c>
      <c r="B91" s="47">
        <v>666860418</v>
      </c>
      <c r="C91" s="53">
        <v>5</v>
      </c>
      <c r="D91" s="48">
        <v>46222</v>
      </c>
      <c r="E91" s="50" t="s">
        <v>50</v>
      </c>
      <c r="F91" s="51" t="s">
        <v>51</v>
      </c>
      <c r="G91" s="52">
        <v>-165</v>
      </c>
      <c r="H91" s="47"/>
    </row>
    <row r="92" spans="1:8" ht="60.75" customHeight="1">
      <c r="A92" s="47">
        <v>661393787</v>
      </c>
      <c r="B92" s="47">
        <v>660000779</v>
      </c>
      <c r="C92" s="53">
        <v>2</v>
      </c>
      <c r="D92" s="48">
        <v>46222</v>
      </c>
      <c r="E92" s="50" t="s">
        <v>52</v>
      </c>
      <c r="F92" s="51" t="s">
        <v>53</v>
      </c>
      <c r="G92" s="52">
        <v>-166</v>
      </c>
      <c r="H92" s="47"/>
    </row>
    <row r="93" spans="1:8" ht="32.25" customHeight="1">
      <c r="A93" s="47">
        <v>661393787</v>
      </c>
      <c r="B93" s="47">
        <v>665009712</v>
      </c>
      <c r="C93" s="49">
        <v>15</v>
      </c>
      <c r="D93" s="48">
        <v>46222</v>
      </c>
      <c r="E93" s="50" t="s">
        <v>42</v>
      </c>
      <c r="F93" s="51" t="s">
        <v>43</v>
      </c>
      <c r="G93" s="52">
        <v>-168</v>
      </c>
      <c r="H93" s="47"/>
    </row>
  </sheetData>
  <autoFilter ref="A1:H93">
    <sortState ref="A2:H93">
      <sortCondition ref="D1:D93"/>
    </sortState>
  </autoFilter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097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781050</xdr:colOff>
                <xdr:row>1</xdr:row>
                <xdr:rowOff>47625</xdr:rowOff>
              </to>
            </anchor>
          </controlPr>
        </control>
      </mc:Choice>
      <mc:Fallback>
        <control shapeId="4097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somtel puntland petty Cash Augu</vt:lpstr>
      <vt:lpstr>Bluekom Petty Cash Augus 2026</vt:lpstr>
      <vt:lpstr>Sheet3</vt:lpstr>
      <vt:lpstr>Sheet4</vt:lpstr>
      <vt:lpstr>Sheet2</vt:lpstr>
    </vt:vector>
  </TitlesOfParts>
  <Company>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Fateh</dc:creator>
  <cp:lastModifiedBy>HC</cp:lastModifiedBy>
  <cp:lastPrinted>2026-07-19T16:11:41Z</cp:lastPrinted>
  <dcterms:created xsi:type="dcterms:W3CDTF">2013-03-07T04:24:35Z</dcterms:created>
  <dcterms:modified xsi:type="dcterms:W3CDTF">2026-10-09T05:39:32Z</dcterms:modified>
</cp:coreProperties>
</file>